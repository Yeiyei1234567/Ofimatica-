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Yesicola Dibujo\YESICOLA OFIMATICA\EXCEL\"/>
    </mc:Choice>
  </mc:AlternateContent>
  <xr:revisionPtr revIDLastSave="0" documentId="8_{280C37A8-43BD-4DB4-AE01-660ECC5E1C4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actica 1" sheetId="1" r:id="rId1"/>
    <sheet name="practica 2" sheetId="2" r:id="rId2"/>
    <sheet name="practica 3" sheetId="3" r:id="rId3"/>
    <sheet name="practica 4" sheetId="4" r:id="rId4"/>
    <sheet name="practica 5" sheetId="5" r:id="rId5"/>
    <sheet name="Practica 6" sheetId="6" r:id="rId6"/>
    <sheet name="Practica 7" sheetId="7" r:id="rId7"/>
    <sheet name="Practica 8" sheetId="8" r:id="rId8"/>
    <sheet name="Practica 9" sheetId="9" r:id="rId9"/>
    <sheet name="Practica 10" sheetId="10" r:id="rId10"/>
  </sheets>
  <definedNames>
    <definedName name="A10000000">'Practica 7'!$A$1000000</definedName>
    <definedName name="A1000000000">'Practica 7'!$A$1000000</definedName>
    <definedName name="A1999999">'Practica 7'!$A$1000183</definedName>
    <definedName name="A77777777777">'Practica 7'!$B$683</definedName>
    <definedName name="calificaciones">'Practica 10'!$A$1:$F$23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0" l="1"/>
  <c r="N10" i="10"/>
  <c r="I9" i="10"/>
  <c r="P10" i="10"/>
  <c r="O10" i="10"/>
  <c r="M26" i="10"/>
  <c r="K24" i="10"/>
  <c r="J24" i="10"/>
  <c r="I24" i="10"/>
  <c r="C17" i="9"/>
  <c r="K21" i="10"/>
  <c r="J21" i="10"/>
  <c r="I21" i="10"/>
  <c r="K17" i="10"/>
  <c r="J17" i="10"/>
  <c r="C14" i="9"/>
  <c r="K14" i="10"/>
  <c r="J14" i="10"/>
  <c r="I14" i="10"/>
  <c r="K9" i="10"/>
  <c r="J9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" i="10"/>
  <c r="E17" i="9"/>
  <c r="E16" i="9"/>
  <c r="F16" i="9"/>
  <c r="F17" i="9"/>
  <c r="D17" i="9"/>
  <c r="D16" i="9"/>
  <c r="E15" i="9"/>
  <c r="C16" i="9"/>
  <c r="F15" i="9"/>
  <c r="D15" i="9"/>
  <c r="C15" i="9"/>
  <c r="F14" i="9"/>
  <c r="E14" i="9"/>
  <c r="D14" i="9"/>
  <c r="B7" i="7"/>
  <c r="C3" i="7"/>
  <c r="C4" i="7"/>
  <c r="C5" i="7"/>
  <c r="C6" i="7"/>
  <c r="C2" i="7"/>
  <c r="C18" i="6"/>
  <c r="C19" i="6"/>
  <c r="C20" i="6"/>
  <c r="C17" i="6"/>
  <c r="C3" i="6"/>
  <c r="C4" i="6"/>
  <c r="C5" i="6"/>
  <c r="C6" i="6"/>
  <c r="C7" i="6"/>
  <c r="C8" i="6"/>
  <c r="C9" i="6"/>
  <c r="C10" i="6"/>
  <c r="C11" i="6"/>
  <c r="C12" i="6"/>
  <c r="C2" i="6"/>
  <c r="B3" i="6"/>
  <c r="B4" i="6"/>
  <c r="B5" i="6"/>
  <c r="B6" i="6"/>
  <c r="B7" i="6"/>
  <c r="B8" i="6"/>
  <c r="B9" i="6"/>
  <c r="B10" i="6"/>
  <c r="B11" i="6"/>
  <c r="B12" i="6"/>
  <c r="B2" i="6"/>
  <c r="I20" i="5"/>
  <c r="B21" i="5"/>
  <c r="B22" i="5"/>
  <c r="C8" i="5"/>
  <c r="C9" i="5"/>
  <c r="Q18" i="5"/>
  <c r="Q19" i="5"/>
  <c r="Q20" i="5"/>
  <c r="Q17" i="5"/>
  <c r="R7" i="5"/>
  <c r="R8" i="5"/>
  <c r="R9" i="5"/>
  <c r="R6" i="5"/>
  <c r="Q7" i="5"/>
  <c r="Q8" i="5"/>
  <c r="Q9" i="5"/>
  <c r="Q6" i="5"/>
  <c r="O7" i="5"/>
  <c r="O8" i="5"/>
  <c r="O6" i="5"/>
  <c r="I15" i="5"/>
  <c r="I14" i="5"/>
  <c r="I13" i="5"/>
  <c r="I12" i="5"/>
  <c r="I11" i="5"/>
  <c r="I10" i="5"/>
  <c r="I9" i="5"/>
  <c r="I8" i="5"/>
  <c r="I3" i="5"/>
  <c r="I4" i="5"/>
  <c r="I5" i="5"/>
  <c r="I6" i="5"/>
  <c r="I7" i="5"/>
  <c r="I2" i="5"/>
  <c r="C3" i="5"/>
  <c r="C4" i="5"/>
  <c r="C5" i="5"/>
  <c r="C6" i="5"/>
  <c r="C7" i="5"/>
  <c r="C2" i="5"/>
  <c r="E3" i="4"/>
  <c r="E4" i="4"/>
  <c r="E5" i="4"/>
  <c r="E6" i="4"/>
  <c r="E7" i="4"/>
  <c r="E8" i="4"/>
  <c r="E9" i="4"/>
  <c r="E10" i="4"/>
  <c r="E11" i="4"/>
  <c r="E2" i="4"/>
  <c r="C21" i="6" l="1"/>
  <c r="C7" i="7"/>
</calcChain>
</file>

<file path=xl/sharedStrings.xml><?xml version="1.0" encoding="utf-8"?>
<sst xmlns="http://schemas.openxmlformats.org/spreadsheetml/2006/main" count="293" uniqueCount="205">
  <si>
    <t xml:space="preserve">Ofimatica </t>
  </si>
  <si>
    <t>Miercoles</t>
  </si>
  <si>
    <t>Electricidad 1</t>
  </si>
  <si>
    <t>Jueves</t>
  </si>
  <si>
    <t>Titulo</t>
  </si>
  <si>
    <t>HORA</t>
  </si>
  <si>
    <t xml:space="preserve">LUNES </t>
  </si>
  <si>
    <t>MARTES</t>
  </si>
  <si>
    <t>MIERCOLES</t>
  </si>
  <si>
    <t>JUEVES</t>
  </si>
  <si>
    <t>VIERNES</t>
  </si>
  <si>
    <t>07:00-08:00</t>
  </si>
  <si>
    <t>DIBUJO EN INGENIERIA</t>
  </si>
  <si>
    <t>08:00-09:00</t>
  </si>
  <si>
    <t>ALGEBRA B</t>
  </si>
  <si>
    <t>09:00-10:00</t>
  </si>
  <si>
    <t>10:00-11:00</t>
  </si>
  <si>
    <t>PROGRAMACIÓN EN C</t>
  </si>
  <si>
    <t>11:00-12:00</t>
  </si>
  <si>
    <t>SEMINARIO DE ETICA Y LIDERAZGO</t>
  </si>
  <si>
    <t>12:00-13:00</t>
  </si>
  <si>
    <t>ESTATICA</t>
  </si>
  <si>
    <t>13:00-14:00</t>
  </si>
  <si>
    <t>TALLER DE OFIMATICA</t>
  </si>
  <si>
    <t>14:00-15:00</t>
  </si>
  <si>
    <t>INGLES 2</t>
  </si>
  <si>
    <t>Nombre</t>
  </si>
  <si>
    <t>Encargado</t>
  </si>
  <si>
    <t>Presupuesto</t>
  </si>
  <si>
    <t>Luis</t>
  </si>
  <si>
    <t>Pedro</t>
  </si>
  <si>
    <t>Jaime</t>
  </si>
  <si>
    <t>Gerente</t>
  </si>
  <si>
    <t>Almacenista</t>
  </si>
  <si>
    <t>Botarguero</t>
  </si>
  <si>
    <t>Pablo</t>
  </si>
  <si>
    <t>Dueño</t>
  </si>
  <si>
    <t xml:space="preserve"> Nombre del componente</t>
  </si>
  <si>
    <t xml:space="preserve">Descripcion del componente </t>
  </si>
  <si>
    <t>Cantidad a comprar</t>
  </si>
  <si>
    <t>Costo unitario</t>
  </si>
  <si>
    <t>Costo total</t>
  </si>
  <si>
    <t>Link del producto</t>
  </si>
  <si>
    <t xml:space="preserve">Resistencia </t>
  </si>
  <si>
    <t>Diodo</t>
  </si>
  <si>
    <t>Inductor</t>
  </si>
  <si>
    <t>Capacitor</t>
  </si>
  <si>
    <t>Interruptor</t>
  </si>
  <si>
    <t>Fusible</t>
  </si>
  <si>
    <t>Bateria</t>
  </si>
  <si>
    <t xml:space="preserve">Diodo zener </t>
  </si>
  <si>
    <t>Protoboard</t>
  </si>
  <si>
    <t>Calculadora de areas de rectangulos</t>
  </si>
  <si>
    <t>Calculadora de areas de rectangulo</t>
  </si>
  <si>
    <t>decimal</t>
  </si>
  <si>
    <t>binario</t>
  </si>
  <si>
    <t>HEX</t>
  </si>
  <si>
    <t>dia</t>
  </si>
  <si>
    <t>gasto</t>
  </si>
  <si>
    <t>Lunes</t>
  </si>
  <si>
    <t>Martes</t>
  </si>
  <si>
    <t>Viernes</t>
  </si>
  <si>
    <t>Totalñ</t>
  </si>
  <si>
    <t>Estado 1</t>
  </si>
  <si>
    <t>Estado 2</t>
  </si>
  <si>
    <t>Salida</t>
  </si>
  <si>
    <t>x</t>
  </si>
  <si>
    <t>y</t>
  </si>
  <si>
    <t>y=3x-2</t>
  </si>
  <si>
    <t>y2</t>
  </si>
  <si>
    <t>y=x^2+1</t>
  </si>
  <si>
    <t xml:space="preserve">Edades </t>
  </si>
  <si>
    <t>Porcentaje</t>
  </si>
  <si>
    <t>13-15</t>
  </si>
  <si>
    <t>15-18</t>
  </si>
  <si>
    <t>18-21</t>
  </si>
  <si>
    <t>21-30</t>
  </si>
  <si>
    <t xml:space="preserve">Personas </t>
  </si>
  <si>
    <t>Rango de edad</t>
  </si>
  <si>
    <t>#Personas</t>
  </si>
  <si>
    <t>Total</t>
  </si>
  <si>
    <t xml:space="preserve">Porcentaje </t>
  </si>
  <si>
    <t>Tarea</t>
  </si>
  <si>
    <t>Edad</t>
  </si>
  <si>
    <t>Sexo</t>
  </si>
  <si>
    <t>Grado</t>
  </si>
  <si>
    <t>Calificacion</t>
  </si>
  <si>
    <t>Tipo de evaluacion</t>
  </si>
  <si>
    <t>Emmanuel Rodriguez</t>
  </si>
  <si>
    <t>Jonatan Vazquez</t>
  </si>
  <si>
    <t>Abraham Gaytan</t>
  </si>
  <si>
    <t>Paola linderos</t>
  </si>
  <si>
    <t xml:space="preserve">Alejandra Bautista </t>
  </si>
  <si>
    <t>Adolfo Ferrruzca</t>
  </si>
  <si>
    <t>Rolando Campos</t>
  </si>
  <si>
    <t xml:space="preserve">Daniela Peña </t>
  </si>
  <si>
    <t>EDAD</t>
  </si>
  <si>
    <t>SEXO</t>
  </si>
  <si>
    <t>GRADO</t>
  </si>
  <si>
    <t xml:space="preserve">CALIFICACION </t>
  </si>
  <si>
    <t>EVALUACION</t>
  </si>
  <si>
    <t>M</t>
  </si>
  <si>
    <t>F</t>
  </si>
  <si>
    <t>extraordinario</t>
  </si>
  <si>
    <t>ordinario</t>
  </si>
  <si>
    <t>BDCONTAR</t>
  </si>
  <si>
    <t>AA1</t>
  </si>
  <si>
    <r>
      <t>Es un componente pasivo diseñado para oponerse al flujo de corriente eléctrica, limitándolo y provocando una caída de tensión en un circuito</t>
    </r>
    <r>
      <rPr>
        <sz val="12"/>
        <color rgb="FFE6E8F0"/>
        <rFont val="Arial"/>
        <family val="2"/>
      </rPr>
      <t>.</t>
    </r>
  </si>
  <si>
    <t>es un componente pasivo que almacena energía eléctrica temporalmente en un campo eléctrico, liberándola cuando el circuito lo requiere.</t>
  </si>
  <si>
    <t>es un componente pasivo que almacena energía en forma de campo magnético cuando fluye corriente a través de él</t>
  </si>
  <si>
    <r>
      <t>es un componente de seguridad diseñado para proteger circuitos electrónicos contra sobrecargas y cortocircuitos</t>
    </r>
    <r>
      <rPr>
        <sz val="12"/>
        <color rgb="FFE6E8F0"/>
        <rFont val="Arial"/>
        <family val="2"/>
      </rPr>
      <t>.</t>
    </r>
  </si>
  <si>
    <t>Un LED (Light Emitting Diode) es un componente electrónico semiconductor que emite luz al pasar corriente a través de él en sentido directo.</t>
  </si>
  <si>
    <r>
      <t>Un diodo </t>
    </r>
    <r>
      <rPr>
        <sz val="11"/>
        <color theme="1"/>
        <rFont val="Calibri"/>
        <family val="2"/>
        <scheme val="minor"/>
      </rPr>
      <t>es un componente electrónico semiconductor que actúa como una válvula unidireccional para la corriente eléctrica</t>
    </r>
    <r>
      <rPr>
        <sz val="12"/>
        <color rgb="FFE6E8F0"/>
        <rFont val="Arial"/>
        <family val="2"/>
      </rPr>
      <t>.</t>
    </r>
  </si>
  <si>
    <t>Un diodo es un componente electrónico semiconductor que actúa como una válvula unidireccional para la corriente eléctrica.</t>
  </si>
  <si>
    <t>Una batería es un dispositivo que almacena energía química y la convierte en energía eléctrica (corriente continua) mediante una o más celdas electroquímicas.</t>
  </si>
  <si>
    <t>Una placa experimental para hacer circuitos de estudiantes</t>
  </si>
  <si>
    <t>https://uelectronics.com/producto/resistencia-1-4w-presicion</t>
  </si>
  <si>
    <t>https://uelectronics.com/producto/capacitores-electroliticos-25v-10uf-a-10000uf/</t>
  </si>
  <si>
    <t>https://uelectronics.com/producto/indutor-de-ferrita-22uh-620ma-fnr4020s220mt/?removed_item=1</t>
  </si>
  <si>
    <t>https://mexico.newark.com/multicomp-pro/mst-2-5a-250v/fuse-pcb-2-5a-250v-slow-blow/dp/95M6782</t>
  </si>
  <si>
    <t>https://www.steren.com.mx/led-de-5-mm-color-rojo-claro.html</t>
  </si>
  <si>
    <t>https://mexico.newark.com/?&amp;CMP=KNC-GMX-BRAND-ES-ONLY-CONTROL-S43&amp;mckv=su8AqcKVM_dc|pcrid|569194172836|plid||kword|newark%20supply|match|b|slid||product||pgrid|152734868369|ptaid|kwd-2873535176|&amp;gad_source=1&amp;gad_campaignid=20251415437&amp;gbraid=0AAAAAD5U_g3n55csvh7H8N9HVr6pkid6b&amp;gclid=CjwKCAjwtIfPBhAzEiwAv9RTJp7ET7bkYwxgzHFPmuTOUVSIPYkuyiIyGm5O-5dyD3YwWM1vtIe7eBoCQYoQAvD_BwE</t>
  </si>
  <si>
    <t xml:space="preserve"> https://agelectronica.com/detalle?busca=1N%204744A</t>
  </si>
  <si>
    <t>https://www.lummi.com.mx/products/interruptor-de-push?srsltid=AfmBOoruN603hFvjV1i4dueXfPN0rwSjxpR8QyuXPAjgNlI0xvoNYRRD</t>
  </si>
  <si>
    <t>https://es.uline.mx/Product/Detail/S-26577/Batteries/Energizer-Industrial-9V-Alkaline-Batteries?pricode=WE0060&amp;gadtype=pla&amp;id=S-26577&amp;ad_group_id=181970778148&amp;gad_source=1&amp;gad_campaignid=22131110812&amp;gbraid=0AAAAAD8eiAQrW-q_N6-cNfYWbRSba9hI_&amp;gclid=CjwKCAjwhqfPBhBWEiwAZo196ufTYKqyOT1z0YTQq6Qo1-0Sp1uZzK6MPzkWM1ikvB1apr6iuzyPoxoC5TcQAvD_BwE</t>
  </si>
  <si>
    <t>https://mvelectronica.com/producto/motor-de-12v-de-dc-5300rpm?srsltid=AfmBOorslVQCMvyoMAawb4g_cW6ptNpsJXq6z7Iz8nRnKyV6q-8lf3fo</t>
  </si>
  <si>
    <r>
      <rPr>
        <sz val="12"/>
        <rFont val="Arial"/>
        <family val="2"/>
      </rPr>
      <t>Un interruptor es un</t>
    </r>
    <r>
      <rPr>
        <sz val="12"/>
        <color rgb="FFE6E8F0"/>
        <rFont val="Arial"/>
        <family val="2"/>
      </rPr>
      <t> </t>
    </r>
    <r>
      <rPr>
        <sz val="11"/>
        <color theme="1"/>
        <rFont val="Calibri"/>
        <family val="2"/>
        <scheme val="minor"/>
      </rPr>
      <t>dispositivo electrónico o electromecánico que abre o cierra el paso de la corriente eléctrica en un circuito</t>
    </r>
  </si>
  <si>
    <t>Apellidos</t>
  </si>
  <si>
    <t>Clase</t>
  </si>
  <si>
    <t>Lenguaje</t>
  </si>
  <si>
    <t>Matemáticas</t>
  </si>
  <si>
    <t>História</t>
  </si>
  <si>
    <t>Media</t>
  </si>
  <si>
    <t>Txetxu</t>
  </si>
  <si>
    <t>Arazabaleta</t>
  </si>
  <si>
    <t>A</t>
  </si>
  <si>
    <t>Itziar</t>
  </si>
  <si>
    <t>Bengoetxea</t>
  </si>
  <si>
    <t>B</t>
  </si>
  <si>
    <t>Prudencia</t>
  </si>
  <si>
    <t>Gara</t>
  </si>
  <si>
    <t>C</t>
  </si>
  <si>
    <t>Leocadia</t>
  </si>
  <si>
    <t>Garcia</t>
  </si>
  <si>
    <t>Estrellita</t>
  </si>
  <si>
    <t>Gutierrez</t>
  </si>
  <si>
    <t>Romualdo</t>
  </si>
  <si>
    <t>Godofredo</t>
  </si>
  <si>
    <t>Martineti</t>
  </si>
  <si>
    <t>Sigfrido</t>
  </si>
  <si>
    <t>Martinez</t>
  </si>
  <si>
    <t>Gumersindo</t>
  </si>
  <si>
    <t>Leovigildo</t>
  </si>
  <si>
    <t>Mastuerzo</t>
  </si>
  <si>
    <t>Heladio</t>
  </si>
  <si>
    <t>Parralo</t>
  </si>
  <si>
    <t>Urko</t>
  </si>
  <si>
    <t>Perez</t>
  </si>
  <si>
    <t>Higinia</t>
  </si>
  <si>
    <t>Teodófilo</t>
  </si>
  <si>
    <t>Peritarpei</t>
  </si>
  <si>
    <t>Macarena</t>
  </si>
  <si>
    <t>Pitu</t>
  </si>
  <si>
    <t>Quintiliano</t>
  </si>
  <si>
    <t>Sanchez</t>
  </si>
  <si>
    <t>Santemesma</t>
  </si>
  <si>
    <t>Ataulfo</t>
  </si>
  <si>
    <t>Segarra</t>
  </si>
  <si>
    <t>Demetrio</t>
  </si>
  <si>
    <t>Sinforoso</t>
  </si>
  <si>
    <t>Abunciana</t>
  </si>
  <si>
    <t>Torrelles</t>
  </si>
  <si>
    <t>Hugo</t>
  </si>
  <si>
    <t>Urdiales</t>
  </si>
  <si>
    <t>Idoia</t>
  </si>
  <si>
    <t>Zumalacarregui</t>
  </si>
  <si>
    <t xml:space="preserve"> Moda Lenguaje </t>
  </si>
  <si>
    <t>Moda Historia</t>
  </si>
  <si>
    <t>Moda matematicas</t>
  </si>
  <si>
    <t>Prom lenguaje</t>
  </si>
  <si>
    <t>Prom mate</t>
  </si>
  <si>
    <t>Prom historia</t>
  </si>
  <si>
    <t xml:space="preserve">Aprobados de lenguaje </t>
  </si>
  <si>
    <t>Aprobados matematicas</t>
  </si>
  <si>
    <t>Aprobados historia</t>
  </si>
  <si>
    <t xml:space="preserve">Reprobados matematicas </t>
  </si>
  <si>
    <t>Reprobados historia</t>
  </si>
  <si>
    <t>Reprobados lenguaje</t>
  </si>
  <si>
    <t>Nota maxima Lenguaje</t>
  </si>
  <si>
    <t>Nota maxima Lenguaje2</t>
  </si>
  <si>
    <t>Nota maxima Lenguaje3</t>
  </si>
  <si>
    <t>Lenguaje A</t>
  </si>
  <si>
    <t xml:space="preserve">Clase </t>
  </si>
  <si>
    <t>Matematicas A</t>
  </si>
  <si>
    <t>Historia A</t>
  </si>
  <si>
    <t>Lenguaje B</t>
  </si>
  <si>
    <t>Matematicas B</t>
  </si>
  <si>
    <t>Historia B</t>
  </si>
  <si>
    <t>Tiempo (s)</t>
  </si>
  <si>
    <t>Voltaje con Ruido (V)</t>
  </si>
  <si>
    <t>Voltaje Ideal</t>
  </si>
  <si>
    <t>Vfuente</t>
  </si>
  <si>
    <t>cte de tiempo</t>
  </si>
  <si>
    <t>LABORATORIO DE MEDICIONES ELECTRICAS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</si>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</sst>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&quot;$&quot;#,##0.00"/>
    <numFmt numFmtId="166" formatCode="0.00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rgb="FFC00000"/>
      <name val="Bahnschrift SemiBold Condensed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 tint="-0.499984740745262"/>
      <name val="BankGothic Lt BT"/>
      <family val="2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E6E8F0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Bell MT"/>
      <family val="1"/>
    </font>
    <font>
      <b/>
      <sz val="16"/>
      <color rgb="FF00B050"/>
      <name val="Bell MT"/>
      <family val="1"/>
    </font>
    <font>
      <sz val="48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65D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2CD4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theme="1"/>
      </right>
      <top style="thick">
        <color rgb="FFFF000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rgb="FFFF0000"/>
      </top>
      <bottom style="thick">
        <color theme="1"/>
      </bottom>
      <diagonal/>
    </border>
    <border>
      <left style="thick">
        <color rgb="FFFF000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rgb="FFFF0000"/>
      </right>
      <top style="thick">
        <color theme="1"/>
      </top>
      <bottom/>
      <diagonal/>
    </border>
    <border>
      <left style="thick">
        <color rgb="FFFF0000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rgb="FFFF0000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theme="1"/>
      </right>
      <top/>
      <bottom style="thick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right"/>
    </xf>
    <xf numFmtId="0" fontId="1" fillId="3" borderId="1" xfId="2" applyBorder="1"/>
    <xf numFmtId="0" fontId="2" fillId="2" borderId="1" xfId="1" applyBorder="1"/>
    <xf numFmtId="0" fontId="5" fillId="5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vertical="center"/>
    </xf>
    <xf numFmtId="164" fontId="0" fillId="0" borderId="0" xfId="0" applyNumberFormat="1"/>
    <xf numFmtId="0" fontId="8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0" fillId="0" borderId="20" xfId="0" applyBorder="1"/>
    <xf numFmtId="0" fontId="10" fillId="11" borderId="6" xfId="0" applyFont="1" applyFill="1" applyBorder="1" applyAlignment="1">
      <alignment horizontal="center" vertical="center"/>
    </xf>
    <xf numFmtId="165" fontId="11" fillId="0" borderId="0" xfId="0" applyNumberFormat="1" applyFont="1"/>
    <xf numFmtId="0" fontId="11" fillId="0" borderId="0" xfId="0" applyFont="1" applyAlignment="1">
      <alignment horizontal="center"/>
    </xf>
    <xf numFmtId="0" fontId="0" fillId="0" borderId="22" xfId="0" applyBorder="1"/>
    <xf numFmtId="0" fontId="0" fillId="13" borderId="22" xfId="0" applyFill="1" applyBorder="1" applyAlignment="1">
      <alignment horizontal="center" vertical="center"/>
    </xf>
    <xf numFmtId="166" fontId="0" fillId="0" borderId="0" xfId="0" applyNumberFormat="1"/>
    <xf numFmtId="0" fontId="12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6" fillId="0" borderId="0" xfId="3"/>
    <xf numFmtId="0" fontId="15" fillId="14" borderId="0" xfId="0" applyFont="1" applyFill="1" applyAlignment="1">
      <alignment horizontal="left" vertical="center"/>
    </xf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0" fontId="10" fillId="15" borderId="23" xfId="0" applyFont="1" applyFill="1" applyBorder="1"/>
    <xf numFmtId="0" fontId="10" fillId="16" borderId="23" xfId="0" applyFont="1" applyFill="1" applyBorder="1"/>
    <xf numFmtId="0" fontId="10" fillId="17" borderId="23" xfId="0" applyFont="1" applyFill="1" applyBorder="1"/>
    <xf numFmtId="0" fontId="10" fillId="9" borderId="23" xfId="0" applyFont="1" applyFill="1" applyBorder="1"/>
    <xf numFmtId="0" fontId="10" fillId="18" borderId="23" xfId="0" applyFont="1" applyFill="1" applyBorder="1"/>
    <xf numFmtId="0" fontId="10" fillId="5" borderId="23" xfId="0" applyFont="1" applyFill="1" applyBorder="1"/>
    <xf numFmtId="0" fontId="0" fillId="19" borderId="23" xfId="0" applyFill="1" applyBorder="1"/>
    <xf numFmtId="0" fontId="0" fillId="18" borderId="23" xfId="0" applyFill="1" applyBorder="1"/>
    <xf numFmtId="0" fontId="0" fillId="13" borderId="23" xfId="0" applyFill="1" applyBorder="1"/>
    <xf numFmtId="0" fontId="0" fillId="15" borderId="23" xfId="0" applyFill="1" applyBorder="1"/>
    <xf numFmtId="0" fontId="0" fillId="20" borderId="23" xfId="0" applyFill="1" applyBorder="1"/>
    <xf numFmtId="0" fontId="10" fillId="12" borderId="23" xfId="0" applyFont="1" applyFill="1" applyBorder="1"/>
    <xf numFmtId="1" fontId="0" fillId="21" borderId="23" xfId="0" applyNumberFormat="1" applyFill="1" applyBorder="1" applyAlignment="1">
      <alignment horizontal="center"/>
    </xf>
    <xf numFmtId="2" fontId="0" fillId="21" borderId="23" xfId="0" applyNumberFormat="1" applyFill="1" applyBorder="1" applyAlignment="1">
      <alignment horizontal="center"/>
    </xf>
    <xf numFmtId="166" fontId="0" fillId="21" borderId="23" xfId="0" applyNumberFormat="1" applyFill="1" applyBorder="1" applyAlignment="1">
      <alignment horizontal="center"/>
    </xf>
    <xf numFmtId="0" fontId="0" fillId="21" borderId="0" xfId="0" applyFill="1"/>
    <xf numFmtId="0" fontId="9" fillId="22" borderId="4" xfId="0" applyFont="1" applyFill="1" applyBorder="1" applyAlignment="1">
      <alignment horizontal="center" vertical="center"/>
    </xf>
    <xf numFmtId="0" fontId="9" fillId="22" borderId="5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23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7" fillId="7" borderId="10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/>
    </xf>
    <xf numFmtId="0" fontId="17" fillId="24" borderId="11" xfId="0" applyFont="1" applyFill="1" applyBorder="1" applyAlignment="1">
      <alignment horizontal="center" vertical="center" textRotation="45" wrapText="1"/>
    </xf>
    <xf numFmtId="0" fontId="17" fillId="24" borderId="14" xfId="0" applyFont="1" applyFill="1" applyBorder="1" applyAlignment="1">
      <alignment horizontal="center" vertical="center" textRotation="45" wrapText="1"/>
    </xf>
    <xf numFmtId="0" fontId="17" fillId="0" borderId="1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24" borderId="12" xfId="0" applyFont="1" applyFill="1" applyBorder="1" applyAlignment="1">
      <alignment horizontal="center" vertical="center" textRotation="45" wrapText="1"/>
    </xf>
    <xf numFmtId="0" fontId="17" fillId="24" borderId="15" xfId="0" applyFont="1" applyFill="1" applyBorder="1" applyAlignment="1">
      <alignment horizontal="center" vertical="center" textRotation="45" wrapText="1"/>
    </xf>
    <xf numFmtId="0" fontId="0" fillId="0" borderId="21" xfId="0" applyBorder="1" applyAlignment="1">
      <alignment horizontal="center"/>
    </xf>
    <xf numFmtId="0" fontId="11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1" fillId="12" borderId="22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horizontal="center" vertical="center"/>
    </xf>
    <xf numFmtId="0" fontId="18" fillId="25" borderId="9" xfId="0" applyFont="1" applyFill="1" applyBorder="1" applyAlignment="1">
      <alignment horizontal="center" vertical="center"/>
    </xf>
    <xf numFmtId="0" fontId="17" fillId="26" borderId="17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/>
    </xf>
  </cellXfs>
  <cellStyles count="4">
    <cellStyle name="40% - Énfasis2" xfId="2" builtinId="35"/>
    <cellStyle name="Bueno" xfId="1" builtinId="26"/>
    <cellStyle name="Hipervínculo" xfId="3" builtinId="8"/>
    <cellStyle name="Normal" xfId="0" builtinId="0"/>
  </cellStyles>
  <dxfs count="17">
    <dxf>
      <numFmt numFmtId="167" formatCode="0.0"/>
    </dxf>
    <dxf>
      <numFmt numFmtId="167" formatCode="0.0"/>
    </dxf>
    <dxf>
      <numFmt numFmtId="167" formatCode="0.0"/>
    </dxf>
    <dxf>
      <numFmt numFmtId="1" formatCode="0"/>
    </dxf>
    <dxf>
      <numFmt numFmtId="167" formatCode="0.0"/>
    </dxf>
    <dxf>
      <numFmt numFmtId="167" formatCode="0.0"/>
    </dxf>
    <dxf>
      <numFmt numFmtId="167" formatCode="0.0"/>
    </dxf>
    <dxf>
      <numFmt numFmtId="2" formatCode="0.0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590048118985127E-2"/>
          <c:y val="0.13653944298629339"/>
          <c:w val="0.89521062992125988"/>
          <c:h val="0.6714577865266842"/>
        </c:manualLayout>
      </c:layout>
      <c:lineChart>
        <c:grouping val="standard"/>
        <c:varyColors val="0"/>
        <c:ser>
          <c:idx val="1"/>
          <c:order val="0"/>
          <c:tx>
            <c:strRef>
              <c:f>'Practica 6'!$B$1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'Practica 6'!$B$2:$B$12</c:f>
              <c:numCache>
                <c:formatCode>General</c:formatCode>
                <c:ptCount val="11"/>
                <c:pt idx="0">
                  <c:v>-17</c:v>
                </c:pt>
                <c:pt idx="1">
                  <c:v>-14</c:v>
                </c:pt>
                <c:pt idx="2">
                  <c:v>-11</c:v>
                </c:pt>
                <c:pt idx="3">
                  <c:v>-8</c:v>
                </c:pt>
                <c:pt idx="4">
                  <c:v>-5</c:v>
                </c:pt>
                <c:pt idx="5">
                  <c:v>-2</c:v>
                </c:pt>
                <c:pt idx="6">
                  <c:v>1</c:v>
                </c:pt>
                <c:pt idx="7">
                  <c:v>4</c:v>
                </c:pt>
                <c:pt idx="8">
                  <c:v>7</c:v>
                </c:pt>
                <c:pt idx="9">
                  <c:v>10</c:v>
                </c:pt>
                <c:pt idx="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3-4653-A654-F8D41375B9DC}"/>
            </c:ext>
          </c:extLst>
        </c:ser>
        <c:ser>
          <c:idx val="2"/>
          <c:order val="1"/>
          <c:tx>
            <c:strRef>
              <c:f>'Practica 6'!$C$1</c:f>
              <c:strCache>
                <c:ptCount val="1"/>
                <c:pt idx="0">
                  <c:v>y2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'Practica 6'!$C$2:$C$12</c:f>
              <c:numCache>
                <c:formatCode>General</c:formatCode>
                <c:ptCount val="11"/>
                <c:pt idx="0">
                  <c:v>26</c:v>
                </c:pt>
                <c:pt idx="1">
                  <c:v>17</c:v>
                </c:pt>
                <c:pt idx="2">
                  <c:v>10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10</c:v>
                </c:pt>
                <c:pt idx="9">
                  <c:v>17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43-4653-A654-F8D41375B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98064"/>
        <c:axId val="185498624"/>
      </c:lineChart>
      <c:catAx>
        <c:axId val="18549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498624"/>
        <c:crosses val="autoZero"/>
        <c:auto val="1"/>
        <c:lblAlgn val="ctr"/>
        <c:lblOffset val="100"/>
        <c:noMultiLvlLbl val="0"/>
      </c:catAx>
      <c:valAx>
        <c:axId val="18549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49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'Practica 7'!$B$1</c:f>
              <c:strCache>
                <c:ptCount val="1"/>
                <c:pt idx="0">
                  <c:v>#Personas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58-4445-904D-33F65C545D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58-4445-904D-33F65C545D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58-4445-904D-33F65C545D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58-4445-904D-33F65C545D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58-4445-904D-33F65C545D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'Practica 7'!$B$2:$B$6</c:f>
              <c:numCache>
                <c:formatCode>General</c:formatCode>
                <c:ptCount val="5"/>
                <c:pt idx="0">
                  <c:v>6</c:v>
                </c:pt>
                <c:pt idx="1">
                  <c:v>17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7-43BF-B273-105BCF12B706}"/>
            </c:ext>
          </c:extLst>
        </c:ser>
        <c:ser>
          <c:idx val="1"/>
          <c:order val="1"/>
          <c:tx>
            <c:strRef>
              <c:f>'Practica 7'!$C$1</c:f>
              <c:strCache>
                <c:ptCount val="1"/>
                <c:pt idx="0">
                  <c:v>Porcentaje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558-4445-904D-33F65C545D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558-4445-904D-33F65C545D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558-4445-904D-33F65C545D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558-4445-904D-33F65C545D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558-4445-904D-33F65C545D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'Practica 7'!$C$2:$C$6</c:f>
              <c:numCache>
                <c:formatCode>0.000</c:formatCode>
                <c:ptCount val="5"/>
                <c:pt idx="0">
                  <c:v>17.142857142857142</c:v>
                </c:pt>
                <c:pt idx="1">
                  <c:v>48.571428571428569</c:v>
                </c:pt>
                <c:pt idx="2">
                  <c:v>22.857142857142858</c:v>
                </c:pt>
                <c:pt idx="3">
                  <c:v>8.5714285714285712</c:v>
                </c:pt>
                <c:pt idx="4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37-43BF-B273-105BCF12B7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'Practica 8'!$A$1:$A$60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0.25</c:v>
                </c:pt>
                <c:pt idx="7" formatCode="0.00">
                  <c:v>0.3</c:v>
                </c:pt>
                <c:pt idx="8" formatCode="0.00">
                  <c:v>0.35</c:v>
                </c:pt>
                <c:pt idx="9" formatCode="0.00">
                  <c:v>0.4</c:v>
                </c:pt>
                <c:pt idx="10" formatCode="0.00">
                  <c:v>0.45</c:v>
                </c:pt>
                <c:pt idx="11" formatCode="0.00">
                  <c:v>0.5</c:v>
                </c:pt>
                <c:pt idx="12" formatCode="0.00">
                  <c:v>0.55000000000000004</c:v>
                </c:pt>
                <c:pt idx="13" formatCode="0.00">
                  <c:v>0.6</c:v>
                </c:pt>
                <c:pt idx="14" formatCode="0.00">
                  <c:v>0.65</c:v>
                </c:pt>
                <c:pt idx="15" formatCode="0.00">
                  <c:v>0.7</c:v>
                </c:pt>
                <c:pt idx="16" formatCode="0.00">
                  <c:v>0.75</c:v>
                </c:pt>
                <c:pt idx="17" formatCode="0.00">
                  <c:v>0.8</c:v>
                </c:pt>
                <c:pt idx="18" formatCode="0.00">
                  <c:v>0.85</c:v>
                </c:pt>
                <c:pt idx="19" formatCode="0.00">
                  <c:v>0.9</c:v>
                </c:pt>
                <c:pt idx="20" formatCode="0.00">
                  <c:v>0.95</c:v>
                </c:pt>
                <c:pt idx="21" formatCode="0.00">
                  <c:v>1</c:v>
                </c:pt>
                <c:pt idx="22" formatCode="0.00">
                  <c:v>1.1000000000000001</c:v>
                </c:pt>
                <c:pt idx="23" formatCode="0.00">
                  <c:v>1.2</c:v>
                </c:pt>
                <c:pt idx="24" formatCode="0.00">
                  <c:v>1.3</c:v>
                </c:pt>
                <c:pt idx="25" formatCode="0.00">
                  <c:v>1.4</c:v>
                </c:pt>
                <c:pt idx="26" formatCode="0.00">
                  <c:v>1.5</c:v>
                </c:pt>
                <c:pt idx="27" formatCode="0.00">
                  <c:v>1.6</c:v>
                </c:pt>
                <c:pt idx="28" formatCode="0.00">
                  <c:v>1.7</c:v>
                </c:pt>
                <c:pt idx="29" formatCode="0.00">
                  <c:v>1.8</c:v>
                </c:pt>
                <c:pt idx="30" formatCode="0.00">
                  <c:v>1.9</c:v>
                </c:pt>
                <c:pt idx="31" formatCode="0.00">
                  <c:v>2</c:v>
                </c:pt>
                <c:pt idx="32" formatCode="0.00">
                  <c:v>2.2000000000000002</c:v>
                </c:pt>
                <c:pt idx="33" formatCode="0.00">
                  <c:v>2.4</c:v>
                </c:pt>
                <c:pt idx="34" formatCode="0.00">
                  <c:v>2.6</c:v>
                </c:pt>
                <c:pt idx="35" formatCode="0.00">
                  <c:v>2.8</c:v>
                </c:pt>
                <c:pt idx="36" formatCode="0.00">
                  <c:v>3</c:v>
                </c:pt>
                <c:pt idx="37" formatCode="0.00">
                  <c:v>3.5</c:v>
                </c:pt>
                <c:pt idx="38" formatCode="0.00">
                  <c:v>4</c:v>
                </c:pt>
                <c:pt idx="39" formatCode="0.00">
                  <c:v>5</c:v>
                </c:pt>
                <c:pt idx="40" formatCode="0.00">
                  <c:v>6</c:v>
                </c:pt>
                <c:pt idx="41" formatCode="0.00">
                  <c:v>7</c:v>
                </c:pt>
                <c:pt idx="42" formatCode="0.00">
                  <c:v>8</c:v>
                </c:pt>
                <c:pt idx="43" formatCode="0.00">
                  <c:v>9</c:v>
                </c:pt>
                <c:pt idx="44" formatCode="0.0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2-4B25-826F-2B78F5919C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'Practica 8'!$B$1:$B$60</c:f>
              <c:numCache>
                <c:formatCode>0.00</c:formatCode>
                <c:ptCount val="60"/>
                <c:pt idx="0" formatCode="General">
                  <c:v>0</c:v>
                </c:pt>
                <c:pt idx="1">
                  <c:v>0.02</c:v>
                </c:pt>
                <c:pt idx="2">
                  <c:v>0.22</c:v>
                </c:pt>
                <c:pt idx="3">
                  <c:v>0.45</c:v>
                </c:pt>
                <c:pt idx="4">
                  <c:v>0.63</c:v>
                </c:pt>
                <c:pt idx="5">
                  <c:v>0.78</c:v>
                </c:pt>
                <c:pt idx="6">
                  <c:v>0.92</c:v>
                </c:pt>
                <c:pt idx="7">
                  <c:v>1.05</c:v>
                </c:pt>
                <c:pt idx="8">
                  <c:v>1.18</c:v>
                </c:pt>
                <c:pt idx="9">
                  <c:v>1.25</c:v>
                </c:pt>
                <c:pt idx="10">
                  <c:v>1.38</c:v>
                </c:pt>
                <c:pt idx="11">
                  <c:v>1.55</c:v>
                </c:pt>
                <c:pt idx="12">
                  <c:v>1.62</c:v>
                </c:pt>
                <c:pt idx="13">
                  <c:v>1.8</c:v>
                </c:pt>
                <c:pt idx="14">
                  <c:v>1.88</c:v>
                </c:pt>
                <c:pt idx="15">
                  <c:v>2.0099999999999998</c:v>
                </c:pt>
                <c:pt idx="16">
                  <c:v>2.08</c:v>
                </c:pt>
                <c:pt idx="17">
                  <c:v>2.25</c:v>
                </c:pt>
                <c:pt idx="18">
                  <c:v>2.2999999999999998</c:v>
                </c:pt>
                <c:pt idx="19">
                  <c:v>2.42</c:v>
                </c:pt>
                <c:pt idx="20">
                  <c:v>2.5499999999999998</c:v>
                </c:pt>
                <c:pt idx="21">
                  <c:v>2.6</c:v>
                </c:pt>
                <c:pt idx="22">
                  <c:v>2.85</c:v>
                </c:pt>
                <c:pt idx="23">
                  <c:v>3.05</c:v>
                </c:pt>
                <c:pt idx="24">
                  <c:v>3.1</c:v>
                </c:pt>
                <c:pt idx="25">
                  <c:v>3.28</c:v>
                </c:pt>
                <c:pt idx="26">
                  <c:v>3.35</c:v>
                </c:pt>
                <c:pt idx="27">
                  <c:v>3.48</c:v>
                </c:pt>
                <c:pt idx="28">
                  <c:v>3.52</c:v>
                </c:pt>
                <c:pt idx="29">
                  <c:v>3.6</c:v>
                </c:pt>
                <c:pt idx="30">
                  <c:v>3.68</c:v>
                </c:pt>
                <c:pt idx="31">
                  <c:v>3.72</c:v>
                </c:pt>
                <c:pt idx="32">
                  <c:v>3.88</c:v>
                </c:pt>
                <c:pt idx="33">
                  <c:v>4</c:v>
                </c:pt>
                <c:pt idx="34">
                  <c:v>4.0999999999999996</c:v>
                </c:pt>
                <c:pt idx="35">
                  <c:v>4.18</c:v>
                </c:pt>
                <c:pt idx="36">
                  <c:v>4.22</c:v>
                </c:pt>
                <c:pt idx="37">
                  <c:v>4.45</c:v>
                </c:pt>
                <c:pt idx="38">
                  <c:v>4.5999999999999996</c:v>
                </c:pt>
                <c:pt idx="39">
                  <c:v>4.78</c:v>
                </c:pt>
                <c:pt idx="40">
                  <c:v>4.8499999999999996</c:v>
                </c:pt>
                <c:pt idx="41">
                  <c:v>4.92</c:v>
                </c:pt>
                <c:pt idx="42">
                  <c:v>4.95</c:v>
                </c:pt>
                <c:pt idx="43">
                  <c:v>5.01</c:v>
                </c:pt>
                <c:pt idx="44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2-4B25-826F-2B78F5919CC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'Practica 8'!$C$1:$C$60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B2-4B25-826F-2B78F5919CC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'Practica 8'!$D$1:$D$60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0.25</c:v>
                </c:pt>
                <c:pt idx="7" formatCode="0.00">
                  <c:v>0.3</c:v>
                </c:pt>
                <c:pt idx="8" formatCode="0.00">
                  <c:v>0.35</c:v>
                </c:pt>
                <c:pt idx="9" formatCode="0.00">
                  <c:v>0.4</c:v>
                </c:pt>
                <c:pt idx="10" formatCode="0.00">
                  <c:v>0.45</c:v>
                </c:pt>
                <c:pt idx="11" formatCode="0.00">
                  <c:v>0.5</c:v>
                </c:pt>
                <c:pt idx="12" formatCode="0.00">
                  <c:v>0.55000000000000004</c:v>
                </c:pt>
                <c:pt idx="13" formatCode="0.00">
                  <c:v>0.6</c:v>
                </c:pt>
                <c:pt idx="14" formatCode="0.00">
                  <c:v>0.65</c:v>
                </c:pt>
                <c:pt idx="15" formatCode="0.00">
                  <c:v>0.7</c:v>
                </c:pt>
                <c:pt idx="16" formatCode="0.00">
                  <c:v>0.75</c:v>
                </c:pt>
                <c:pt idx="17" formatCode="0.00">
                  <c:v>0.8</c:v>
                </c:pt>
                <c:pt idx="18" formatCode="0.00">
                  <c:v>0.85</c:v>
                </c:pt>
                <c:pt idx="19" formatCode="0.00">
                  <c:v>0.9</c:v>
                </c:pt>
                <c:pt idx="20" formatCode="0.00">
                  <c:v>0.95</c:v>
                </c:pt>
                <c:pt idx="21" formatCode="0.00">
                  <c:v>1</c:v>
                </c:pt>
                <c:pt idx="22" formatCode="0.00">
                  <c:v>1.1000000000000001</c:v>
                </c:pt>
                <c:pt idx="23" formatCode="0.00">
                  <c:v>1.2</c:v>
                </c:pt>
                <c:pt idx="24" formatCode="0.00">
                  <c:v>1.3</c:v>
                </c:pt>
                <c:pt idx="25" formatCode="0.00">
                  <c:v>1.4</c:v>
                </c:pt>
                <c:pt idx="26" formatCode="0.00">
                  <c:v>1.5</c:v>
                </c:pt>
                <c:pt idx="27" formatCode="0.00">
                  <c:v>1.6</c:v>
                </c:pt>
                <c:pt idx="28" formatCode="0.00">
                  <c:v>1.7</c:v>
                </c:pt>
                <c:pt idx="29" formatCode="0.00">
                  <c:v>1.8</c:v>
                </c:pt>
                <c:pt idx="30" formatCode="0.00">
                  <c:v>1.9</c:v>
                </c:pt>
                <c:pt idx="31" formatCode="0.00">
                  <c:v>2</c:v>
                </c:pt>
                <c:pt idx="32" formatCode="0.00">
                  <c:v>2.2000000000000002</c:v>
                </c:pt>
                <c:pt idx="33" formatCode="0.00">
                  <c:v>2.4</c:v>
                </c:pt>
                <c:pt idx="34" formatCode="0.00">
                  <c:v>2.6</c:v>
                </c:pt>
                <c:pt idx="35" formatCode="0.00">
                  <c:v>2.8</c:v>
                </c:pt>
                <c:pt idx="36" formatCode="0.00">
                  <c:v>3</c:v>
                </c:pt>
                <c:pt idx="37" formatCode="0.00">
                  <c:v>3.5</c:v>
                </c:pt>
                <c:pt idx="38" formatCode="0.00">
                  <c:v>4</c:v>
                </c:pt>
                <c:pt idx="39" formatCode="0.00">
                  <c:v>5</c:v>
                </c:pt>
                <c:pt idx="40" formatCode="0.00">
                  <c:v>6</c:v>
                </c:pt>
                <c:pt idx="41" formatCode="0.00">
                  <c:v>7</c:v>
                </c:pt>
                <c:pt idx="42" formatCode="0.00">
                  <c:v>8</c:v>
                </c:pt>
                <c:pt idx="43" formatCode="0.00">
                  <c:v>9</c:v>
                </c:pt>
                <c:pt idx="44" formatCode="0.0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B2-4B25-826F-2B78F5919CC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'Practica 8'!$E$1:$E$60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0">
                  <c:v>0.24385287749642992</c:v>
                </c:pt>
                <c:pt idx="3" formatCode="0.000">
                  <c:v>0.47581290982020241</c:v>
                </c:pt>
                <c:pt idx="4" formatCode="0.000">
                  <c:v>0.69646011787471096</c:v>
                </c:pt>
                <c:pt idx="5" formatCode="0.000">
                  <c:v>0.9063462346100909</c:v>
                </c:pt>
                <c:pt idx="6" formatCode="0.000">
                  <c:v>1.1059960846429755</c:v>
                </c:pt>
                <c:pt idx="7" formatCode="0.000">
                  <c:v>1.2959088965914107</c:v>
                </c:pt>
                <c:pt idx="8" formatCode="0.000">
                  <c:v>1.4765595514064329</c:v>
                </c:pt>
                <c:pt idx="9" formatCode="0.000">
                  <c:v>1.6483997698218034</c:v>
                </c:pt>
                <c:pt idx="10" formatCode="0.000">
                  <c:v>1.8118592418911335</c:v>
                </c:pt>
                <c:pt idx="11" formatCode="0.000">
                  <c:v>1.9673467014368329</c:v>
                </c:pt>
                <c:pt idx="12" formatCode="0.000">
                  <c:v>2.1152509480975668</c:v>
                </c:pt>
                <c:pt idx="13" formatCode="0.000">
                  <c:v>2.2559418195298679</c:v>
                </c:pt>
                <c:pt idx="14" formatCode="0.000">
                  <c:v>2.38977111619492</c:v>
                </c:pt>
                <c:pt idx="15" formatCode="0.000">
                  <c:v>2.5170734810429525</c:v>
                </c:pt>
                <c:pt idx="16" formatCode="0.000">
                  <c:v>2.6381672362949264</c:v>
                </c:pt>
                <c:pt idx="17" formatCode="0.000">
                  <c:v>2.7533551794138922</c:v>
                </c:pt>
                <c:pt idx="18" formatCode="0.000">
                  <c:v>2.8629253402563664</c:v>
                </c:pt>
                <c:pt idx="19" formatCode="0.000">
                  <c:v>2.9671517012970043</c:v>
                </c:pt>
                <c:pt idx="20" formatCode="0.000">
                  <c:v>3.0662948827274938</c:v>
                </c:pt>
                <c:pt idx="21" formatCode="0.000">
                  <c:v>3.1606027941427883</c:v>
                </c:pt>
                <c:pt idx="22" formatCode="0.000">
                  <c:v>3.3356445815096025</c:v>
                </c:pt>
                <c:pt idx="23" formatCode="0.000">
                  <c:v>3.494028940438989</c:v>
                </c:pt>
                <c:pt idx="24" formatCode="0.000">
                  <c:v>3.6373410348299373</c:v>
                </c:pt>
                <c:pt idx="25" formatCode="0.000">
                  <c:v>3.7670151802919678</c:v>
                </c:pt>
                <c:pt idx="26" formatCode="0.000">
                  <c:v>3.8843491992578509</c:v>
                </c:pt>
                <c:pt idx="27" formatCode="0.000">
                  <c:v>3.9905174100267233</c:v>
                </c:pt>
                <c:pt idx="28" formatCode="0.000">
                  <c:v>4.0865823797363268</c:v>
                </c:pt>
                <c:pt idx="29" formatCode="0.000">
                  <c:v>4.1735055588920673</c:v>
                </c:pt>
                <c:pt idx="30" formatCode="0.000">
                  <c:v>4.2521569038868243</c:v>
                </c:pt>
                <c:pt idx="31" formatCode="0.000">
                  <c:v>4.3233235838169364</c:v>
                </c:pt>
                <c:pt idx="32" formatCode="0.000">
                  <c:v>4.4459842081883307</c:v>
                </c:pt>
                <c:pt idx="33" formatCode="0.000">
                  <c:v>4.5464102335529377</c:v>
                </c:pt>
                <c:pt idx="34" formatCode="0.000">
                  <c:v>4.6286321089283309</c:v>
                </c:pt>
                <c:pt idx="35" formatCode="0.000">
                  <c:v>4.6959496868739103</c:v>
                </c:pt>
                <c:pt idx="36" formatCode="0.000">
                  <c:v>4.7510646581606801</c:v>
                </c:pt>
                <c:pt idx="37" formatCode="0.000">
                  <c:v>4.8490130828884075</c:v>
                </c:pt>
                <c:pt idx="38" formatCode="0.000">
                  <c:v>4.9084218055563289</c:v>
                </c:pt>
                <c:pt idx="39" formatCode="0.000">
                  <c:v>4.966310265004573</c:v>
                </c:pt>
                <c:pt idx="40" formatCode="0.000">
                  <c:v>4.9876062391166682</c:v>
                </c:pt>
                <c:pt idx="41" formatCode="0.000">
                  <c:v>4.9954405901722279</c:v>
                </c:pt>
                <c:pt idx="42" formatCode="0.000">
                  <c:v>4.9983226868604875</c:v>
                </c:pt>
                <c:pt idx="43" formatCode="0.000">
                  <c:v>4.9993829509795669</c:v>
                </c:pt>
                <c:pt idx="44" formatCode="0.000">
                  <c:v>4.9997730003511878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B2-4B25-826F-2B78F5919CC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'Practica 8'!$F$1:$F$60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B2-4B25-826F-2B78F5919CC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8'!$G$1:$G$60</c:f>
              <c:numCache>
                <c:formatCode>General</c:formatCode>
                <c:ptCount val="60"/>
                <c:pt idx="0">
                  <c:v>0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B2-4B25-826F-2B78F5919CC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8'!$H$1:$H$60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B2-4B25-826F-2B78F5919CC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8'!$I$1:$I$60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B2-4B25-826F-2B78F5919CC3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8'!$J$1:$J$60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0.25</c:v>
                </c:pt>
                <c:pt idx="7" formatCode="0.00">
                  <c:v>0.3</c:v>
                </c:pt>
                <c:pt idx="8" formatCode="0.00">
                  <c:v>0.35</c:v>
                </c:pt>
                <c:pt idx="9" formatCode="0.00">
                  <c:v>0.4</c:v>
                </c:pt>
                <c:pt idx="10" formatCode="0.00">
                  <c:v>0.45</c:v>
                </c:pt>
                <c:pt idx="11" formatCode="0.00">
                  <c:v>0.5</c:v>
                </c:pt>
                <c:pt idx="12" formatCode="0.00">
                  <c:v>0.55000000000000004</c:v>
                </c:pt>
                <c:pt idx="13" formatCode="0.00">
                  <c:v>0.6</c:v>
                </c:pt>
                <c:pt idx="14" formatCode="0.00">
                  <c:v>0.65</c:v>
                </c:pt>
                <c:pt idx="15" formatCode="0.00">
                  <c:v>0.7</c:v>
                </c:pt>
                <c:pt idx="16" formatCode="0.00">
                  <c:v>0.75</c:v>
                </c:pt>
                <c:pt idx="17" formatCode="0.00">
                  <c:v>0.8</c:v>
                </c:pt>
                <c:pt idx="18" formatCode="0.00">
                  <c:v>0.85</c:v>
                </c:pt>
                <c:pt idx="19" formatCode="0.00">
                  <c:v>0.9</c:v>
                </c:pt>
                <c:pt idx="20" formatCode="0.00">
                  <c:v>0.95</c:v>
                </c:pt>
                <c:pt idx="21" formatCode="0.00">
                  <c:v>1</c:v>
                </c:pt>
                <c:pt idx="22" formatCode="0.00">
                  <c:v>1.1000000000000001</c:v>
                </c:pt>
                <c:pt idx="23" formatCode="0.00">
                  <c:v>1.2</c:v>
                </c:pt>
                <c:pt idx="24" formatCode="0.00">
                  <c:v>1.3</c:v>
                </c:pt>
                <c:pt idx="25" formatCode="0.00">
                  <c:v>1.4</c:v>
                </c:pt>
                <c:pt idx="26" formatCode="0.00">
                  <c:v>1.5</c:v>
                </c:pt>
                <c:pt idx="27" formatCode="0.00">
                  <c:v>1.6</c:v>
                </c:pt>
                <c:pt idx="28" formatCode="0.00">
                  <c:v>1.7</c:v>
                </c:pt>
                <c:pt idx="29" formatCode="0.00">
                  <c:v>1.8</c:v>
                </c:pt>
                <c:pt idx="30" formatCode="0.00">
                  <c:v>1.9</c:v>
                </c:pt>
                <c:pt idx="31" formatCode="0.00">
                  <c:v>2</c:v>
                </c:pt>
                <c:pt idx="32" formatCode="0.00">
                  <c:v>2.2000000000000002</c:v>
                </c:pt>
                <c:pt idx="33" formatCode="0.00">
                  <c:v>2.4</c:v>
                </c:pt>
                <c:pt idx="34" formatCode="0.00">
                  <c:v>2.6</c:v>
                </c:pt>
                <c:pt idx="35" formatCode="0.00">
                  <c:v>2.8</c:v>
                </c:pt>
                <c:pt idx="36" formatCode="0.00">
                  <c:v>3</c:v>
                </c:pt>
                <c:pt idx="37" formatCode="0.00">
                  <c:v>3.5</c:v>
                </c:pt>
                <c:pt idx="38" formatCode="0.00">
                  <c:v>4</c:v>
                </c:pt>
                <c:pt idx="39" formatCode="0.00">
                  <c:v>5</c:v>
                </c:pt>
                <c:pt idx="40" formatCode="0.00">
                  <c:v>6</c:v>
                </c:pt>
                <c:pt idx="41" formatCode="0.00">
                  <c:v>7</c:v>
                </c:pt>
                <c:pt idx="42" formatCode="0.00">
                  <c:v>8</c:v>
                </c:pt>
                <c:pt idx="43" formatCode="0.00">
                  <c:v>9</c:v>
                </c:pt>
                <c:pt idx="44" formatCode="0.0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B2-4B25-826F-2B78F5919CC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8'!$K$1:$K$60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0">
                  <c:v>4.9750831254159467E-2</c:v>
                </c:pt>
                <c:pt idx="3" formatCode="0.000">
                  <c:v>9.9006633466223737E-2</c:v>
                </c:pt>
                <c:pt idx="4" formatCode="0.000">
                  <c:v>0.14777233225745923</c:v>
                </c:pt>
                <c:pt idx="5" formatCode="0.000">
                  <c:v>0.19605280423838412</c:v>
                </c:pt>
                <c:pt idx="6" formatCode="0.000">
                  <c:v>0.24385287749642992</c:v>
                </c:pt>
                <c:pt idx="7" formatCode="0.000">
                  <c:v>0.2911773320787564</c:v>
                </c:pt>
                <c:pt idx="8" formatCode="0.000">
                  <c:v>0.33803090047025863</c:v>
                </c:pt>
                <c:pt idx="9" formatCode="0.000">
                  <c:v>0.38441826806682122</c:v>
                </c:pt>
                <c:pt idx="10" formatCode="0.000">
                  <c:v>0.43034407364385907</c:v>
                </c:pt>
                <c:pt idx="11" formatCode="0.000">
                  <c:v>0.47581290982020241</c:v>
                </c:pt>
                <c:pt idx="12" formatCode="0.000">
                  <c:v>0.52082932351735889</c:v>
                </c:pt>
                <c:pt idx="13" formatCode="0.000">
                  <c:v>0.56539781641421261</c:v>
                </c:pt>
                <c:pt idx="14" formatCode="0.000">
                  <c:v>0.60952284539719348</c:v>
                </c:pt>
                <c:pt idx="15" formatCode="0.000">
                  <c:v>0.65320882300597072</c:v>
                </c:pt>
                <c:pt idx="16" formatCode="0.000">
                  <c:v>0.69646011787471096</c:v>
                </c:pt>
                <c:pt idx="17" formatCode="0.000">
                  <c:v>0.73928105516894327</c:v>
                </c:pt>
                <c:pt idx="18" formatCode="0.000">
                  <c:v>0.78167591701808148</c:v>
                </c:pt>
                <c:pt idx="19" formatCode="0.000">
                  <c:v>0.82364894294363999</c:v>
                </c:pt>
                <c:pt idx="20" formatCode="0.000">
                  <c:v>0.86520433028318855</c:v>
                </c:pt>
                <c:pt idx="21" formatCode="0.000">
                  <c:v>0.9063462346100909</c:v>
                </c:pt>
                <c:pt idx="22" formatCode="0.000">
                  <c:v>0.98740601018760754</c:v>
                </c:pt>
                <c:pt idx="23" formatCode="0.000">
                  <c:v>1.0668606946672328</c:v>
                </c:pt>
                <c:pt idx="24" formatCode="0.000">
                  <c:v>1.1447420709821687</c:v>
                </c:pt>
                <c:pt idx="25" formatCode="0.000">
                  <c:v>1.2210812927213728</c:v>
                </c:pt>
                <c:pt idx="26" formatCode="0.000">
                  <c:v>1.2959088965914107</c:v>
                </c:pt>
                <c:pt idx="27" formatCode="0.000">
                  <c:v>1.3692548146315453</c:v>
                </c:pt>
                <c:pt idx="28" formatCode="0.000">
                  <c:v>1.4411483861869512</c:v>
                </c:pt>
                <c:pt idx="29" formatCode="0.000">
                  <c:v>1.5116183696448449</c:v>
                </c:pt>
                <c:pt idx="30" formatCode="0.000">
                  <c:v>1.5806929539382208</c:v>
                </c:pt>
                <c:pt idx="31" formatCode="0.000">
                  <c:v>1.6483997698218034</c:v>
                </c:pt>
                <c:pt idx="32" formatCode="0.000">
                  <c:v>1.7798178945842935</c:v>
                </c:pt>
                <c:pt idx="33" formatCode="0.000">
                  <c:v>1.9060830409692957</c:v>
                </c:pt>
                <c:pt idx="34" formatCode="0.000">
                  <c:v>2.0273972601490282</c:v>
                </c:pt>
                <c:pt idx="35" formatCode="0.000">
                  <c:v>2.1439546807559258</c:v>
                </c:pt>
                <c:pt idx="36" formatCode="0.000">
                  <c:v>2.2559418195298679</c:v>
                </c:pt>
                <c:pt idx="37" formatCode="0.000">
                  <c:v>2.5170734810429525</c:v>
                </c:pt>
                <c:pt idx="38" formatCode="0.000">
                  <c:v>2.7533551794138922</c:v>
                </c:pt>
                <c:pt idx="39" formatCode="0.000">
                  <c:v>3.1606027941427883</c:v>
                </c:pt>
                <c:pt idx="40" formatCode="0.000">
                  <c:v>3.494028940438989</c:v>
                </c:pt>
                <c:pt idx="41" formatCode="0.000">
                  <c:v>3.7670151802919678</c:v>
                </c:pt>
                <c:pt idx="42" formatCode="0.000">
                  <c:v>3.9905174100267233</c:v>
                </c:pt>
                <c:pt idx="43" formatCode="0.000">
                  <c:v>4.1735055588920673</c:v>
                </c:pt>
                <c:pt idx="44" formatCode="0.000">
                  <c:v>4.3233235838169364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B2-4B25-826F-2B78F5919CC3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8'!$L$1:$L$60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1B2-4B25-826F-2B78F5919CC3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8'!$M$1:$M$60</c:f>
              <c:numCache>
                <c:formatCode>General</c:formatCode>
                <c:ptCount val="60"/>
                <c:pt idx="0">
                  <c:v>0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B2-4B25-826F-2B78F5919CC3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8'!$N$1:$N$60</c:f>
              <c:numCache>
                <c:formatCode>General</c:formatCode>
                <c:ptCount val="60"/>
                <c:pt idx="0">
                  <c:v>0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1B2-4B25-826F-2B78F5919CC3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8'!$O$1:$O$60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B2-4B25-826F-2B78F5919CC3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8'!$P$1:$P$60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0.25</c:v>
                </c:pt>
                <c:pt idx="7" formatCode="0.00">
                  <c:v>0.3</c:v>
                </c:pt>
                <c:pt idx="8" formatCode="0.00">
                  <c:v>0.35</c:v>
                </c:pt>
                <c:pt idx="9" formatCode="0.00">
                  <c:v>0.4</c:v>
                </c:pt>
                <c:pt idx="10" formatCode="0.00">
                  <c:v>0.45</c:v>
                </c:pt>
                <c:pt idx="11" formatCode="0.00">
                  <c:v>0.5</c:v>
                </c:pt>
                <c:pt idx="12" formatCode="0.00">
                  <c:v>0.55000000000000004</c:v>
                </c:pt>
                <c:pt idx="13" formatCode="0.00">
                  <c:v>0.6</c:v>
                </c:pt>
                <c:pt idx="14" formatCode="0.00">
                  <c:v>0.65</c:v>
                </c:pt>
                <c:pt idx="15" formatCode="0.00">
                  <c:v>0.7</c:v>
                </c:pt>
                <c:pt idx="16" formatCode="0.00">
                  <c:v>0.75</c:v>
                </c:pt>
                <c:pt idx="17" formatCode="0.00">
                  <c:v>0.8</c:v>
                </c:pt>
                <c:pt idx="18" formatCode="0.00">
                  <c:v>0.85</c:v>
                </c:pt>
                <c:pt idx="19" formatCode="0.00">
                  <c:v>0.9</c:v>
                </c:pt>
                <c:pt idx="20" formatCode="0.00">
                  <c:v>0.95</c:v>
                </c:pt>
                <c:pt idx="21" formatCode="0.00">
                  <c:v>1</c:v>
                </c:pt>
                <c:pt idx="22" formatCode="0.00">
                  <c:v>1.1000000000000001</c:v>
                </c:pt>
                <c:pt idx="23" formatCode="0.00">
                  <c:v>1.2</c:v>
                </c:pt>
                <c:pt idx="24" formatCode="0.00">
                  <c:v>1.3</c:v>
                </c:pt>
                <c:pt idx="25" formatCode="0.00">
                  <c:v>1.4</c:v>
                </c:pt>
                <c:pt idx="26" formatCode="0.00">
                  <c:v>1.5</c:v>
                </c:pt>
                <c:pt idx="27" formatCode="0.00">
                  <c:v>1.6</c:v>
                </c:pt>
                <c:pt idx="28" formatCode="0.00">
                  <c:v>1.7</c:v>
                </c:pt>
                <c:pt idx="29" formatCode="0.00">
                  <c:v>1.8</c:v>
                </c:pt>
                <c:pt idx="30" formatCode="0.00">
                  <c:v>1.9</c:v>
                </c:pt>
                <c:pt idx="31" formatCode="0.00">
                  <c:v>2</c:v>
                </c:pt>
                <c:pt idx="32" formatCode="0.00">
                  <c:v>2.2000000000000002</c:v>
                </c:pt>
                <c:pt idx="33" formatCode="0.00">
                  <c:v>2.4</c:v>
                </c:pt>
                <c:pt idx="34" formatCode="0.00">
                  <c:v>2.6</c:v>
                </c:pt>
                <c:pt idx="35" formatCode="0.00">
                  <c:v>2.8</c:v>
                </c:pt>
                <c:pt idx="36" formatCode="0.00">
                  <c:v>3</c:v>
                </c:pt>
                <c:pt idx="37" formatCode="0.00">
                  <c:v>3.5</c:v>
                </c:pt>
                <c:pt idx="38" formatCode="0.00">
                  <c:v>4</c:v>
                </c:pt>
                <c:pt idx="39" formatCode="0.00">
                  <c:v>5</c:v>
                </c:pt>
                <c:pt idx="40" formatCode="0.00">
                  <c:v>6</c:v>
                </c:pt>
                <c:pt idx="41" formatCode="0.00">
                  <c:v>7</c:v>
                </c:pt>
                <c:pt idx="42" formatCode="0.00">
                  <c:v>8</c:v>
                </c:pt>
                <c:pt idx="43" formatCode="0.00">
                  <c:v>9</c:v>
                </c:pt>
                <c:pt idx="44" formatCode="0.0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1B2-4B25-826F-2B78F5919CC3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8'!$Q$1:$Q$60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0">
                  <c:v>2.4937604036588401E-2</c:v>
                </c:pt>
                <c:pt idx="3" formatCode="0.000">
                  <c:v>4.9750831254159467E-2</c:v>
                </c:pt>
                <c:pt idx="4" formatCode="0.000">
                  <c:v>7.4440301984686763E-2</c:v>
                </c:pt>
                <c:pt idx="5" formatCode="0.000">
                  <c:v>9.9006633466223737E-2</c:v>
                </c:pt>
                <c:pt idx="6" formatCode="0.000">
                  <c:v>0.12345043985833692</c:v>
                </c:pt>
                <c:pt idx="7" formatCode="0.000">
                  <c:v>0.14777233225745923</c:v>
                </c:pt>
                <c:pt idx="8" formatCode="0.000">
                  <c:v>0.17197291871216769</c:v>
                </c:pt>
                <c:pt idx="9" formatCode="0.000">
                  <c:v>0.19605280423838412</c:v>
                </c:pt>
                <c:pt idx="10" formatCode="0.000">
                  <c:v>0.2200125908345002</c:v>
                </c:pt>
                <c:pt idx="11" formatCode="0.000">
                  <c:v>0.24385287749642992</c:v>
                </c:pt>
                <c:pt idx="12" formatCode="0.000">
                  <c:v>0.26757426023258091</c:v>
                </c:pt>
                <c:pt idx="13" formatCode="0.000">
                  <c:v>0.2911773320787564</c:v>
                </c:pt>
                <c:pt idx="14" formatCode="0.000">
                  <c:v>0.31466268311298284</c:v>
                </c:pt>
                <c:pt idx="15" formatCode="0.000">
                  <c:v>0.33803090047025863</c:v>
                </c:pt>
                <c:pt idx="16" formatCode="0.000">
                  <c:v>0.36128256835723571</c:v>
                </c:pt>
                <c:pt idx="17" formatCode="0.000">
                  <c:v>0.38441826806682122</c:v>
                </c:pt>
                <c:pt idx="18" formatCode="0.000">
                  <c:v>0.4074385779927131</c:v>
                </c:pt>
                <c:pt idx="19" formatCode="0.000">
                  <c:v>0.43034407364385907</c:v>
                </c:pt>
                <c:pt idx="20" formatCode="0.000">
                  <c:v>0.4531353276588429</c:v>
                </c:pt>
                <c:pt idx="21" formatCode="0.000">
                  <c:v>0.47581290982020241</c:v>
                </c:pt>
                <c:pt idx="22" formatCode="0.000">
                  <c:v>0.52082932351735889</c:v>
                </c:pt>
                <c:pt idx="23" formatCode="0.000">
                  <c:v>0.56539781641421261</c:v>
                </c:pt>
                <c:pt idx="24" formatCode="0.000">
                  <c:v>0.60952284539719348</c:v>
                </c:pt>
                <c:pt idx="25" formatCode="0.000">
                  <c:v>0.65320882300597072</c:v>
                </c:pt>
                <c:pt idx="26" formatCode="0.000">
                  <c:v>0.69646011787471096</c:v>
                </c:pt>
                <c:pt idx="27" formatCode="0.000">
                  <c:v>0.73928105516894327</c:v>
                </c:pt>
                <c:pt idx="28" formatCode="0.000">
                  <c:v>0.78167591701808148</c:v>
                </c:pt>
                <c:pt idx="29" formatCode="0.000">
                  <c:v>0.82364894294363999</c:v>
                </c:pt>
                <c:pt idx="30" formatCode="0.000">
                  <c:v>0.86520433028318855</c:v>
                </c:pt>
                <c:pt idx="31" formatCode="0.000">
                  <c:v>0.9063462346100909</c:v>
                </c:pt>
                <c:pt idx="32" formatCode="0.000">
                  <c:v>0.98740601018760754</c:v>
                </c:pt>
                <c:pt idx="33" formatCode="0.000">
                  <c:v>1.0668606946672328</c:v>
                </c:pt>
                <c:pt idx="34" formatCode="0.000">
                  <c:v>1.1447420709821687</c:v>
                </c:pt>
                <c:pt idx="35" formatCode="0.000">
                  <c:v>1.2210812927213728</c:v>
                </c:pt>
                <c:pt idx="36" formatCode="0.000">
                  <c:v>1.2959088965914107</c:v>
                </c:pt>
                <c:pt idx="37" formatCode="0.000">
                  <c:v>1.4765595514064329</c:v>
                </c:pt>
                <c:pt idx="38" formatCode="0.000">
                  <c:v>1.6483997698218034</c:v>
                </c:pt>
                <c:pt idx="39" formatCode="0.000">
                  <c:v>1.9673467014368329</c:v>
                </c:pt>
                <c:pt idx="40" formatCode="0.000">
                  <c:v>2.2559418195298679</c:v>
                </c:pt>
                <c:pt idx="41" formatCode="0.000">
                  <c:v>2.5170734810429525</c:v>
                </c:pt>
                <c:pt idx="42" formatCode="0.000">
                  <c:v>2.7533551794138922</c:v>
                </c:pt>
                <c:pt idx="43" formatCode="0.000">
                  <c:v>2.9671517012970043</c:v>
                </c:pt>
                <c:pt idx="44" formatCode="0.000">
                  <c:v>3.1606027941427883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1B2-4B25-826F-2B78F5919CC3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8'!$R$1:$R$60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1B2-4B25-826F-2B78F5919CC3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8'!$S$1:$S$60</c:f>
              <c:numCache>
                <c:formatCode>General</c:formatCode>
                <c:ptCount val="60"/>
                <c:pt idx="0">
                  <c:v>0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1B2-4B25-826F-2B78F5919CC3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8'!$T$1:$T$60</c:f>
              <c:numCache>
                <c:formatCode>General</c:formatCode>
                <c:ptCount val="60"/>
                <c:pt idx="0">
                  <c:v>0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1B2-4B25-826F-2B78F5919CC3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8'!$U$1:$U$60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1B2-4B25-826F-2B78F5919CC3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8'!$V$1:$V$60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0.25</c:v>
                </c:pt>
                <c:pt idx="7" formatCode="0.00">
                  <c:v>0.3</c:v>
                </c:pt>
                <c:pt idx="8" formatCode="0.00">
                  <c:v>0.35</c:v>
                </c:pt>
                <c:pt idx="9" formatCode="0.00">
                  <c:v>0.4</c:v>
                </c:pt>
                <c:pt idx="10" formatCode="0.00">
                  <c:v>0.45</c:v>
                </c:pt>
                <c:pt idx="11" formatCode="0.00">
                  <c:v>0.5</c:v>
                </c:pt>
                <c:pt idx="12" formatCode="0.00">
                  <c:v>0.55000000000000004</c:v>
                </c:pt>
                <c:pt idx="13" formatCode="0.00">
                  <c:v>0.6</c:v>
                </c:pt>
                <c:pt idx="14" formatCode="0.00">
                  <c:v>0.65</c:v>
                </c:pt>
                <c:pt idx="15" formatCode="0.00">
                  <c:v>0.7</c:v>
                </c:pt>
                <c:pt idx="16" formatCode="0.00">
                  <c:v>0.75</c:v>
                </c:pt>
                <c:pt idx="17" formatCode="0.00">
                  <c:v>0.8</c:v>
                </c:pt>
                <c:pt idx="18" formatCode="0.00">
                  <c:v>0.85</c:v>
                </c:pt>
                <c:pt idx="19" formatCode="0.00">
                  <c:v>0.9</c:v>
                </c:pt>
                <c:pt idx="20" formatCode="0.00">
                  <c:v>0.95</c:v>
                </c:pt>
                <c:pt idx="21" formatCode="0.00">
                  <c:v>1</c:v>
                </c:pt>
                <c:pt idx="22" formatCode="0.00">
                  <c:v>1.1000000000000001</c:v>
                </c:pt>
                <c:pt idx="23" formatCode="0.00">
                  <c:v>1.2</c:v>
                </c:pt>
                <c:pt idx="24" formatCode="0.00">
                  <c:v>1.3</c:v>
                </c:pt>
                <c:pt idx="25" formatCode="0.00">
                  <c:v>1.4</c:v>
                </c:pt>
                <c:pt idx="26" formatCode="0.00">
                  <c:v>1.5</c:v>
                </c:pt>
                <c:pt idx="27" formatCode="0.00">
                  <c:v>1.6</c:v>
                </c:pt>
                <c:pt idx="28" formatCode="0.00">
                  <c:v>1.7</c:v>
                </c:pt>
                <c:pt idx="29" formatCode="0.00">
                  <c:v>1.8</c:v>
                </c:pt>
                <c:pt idx="30" formatCode="0.00">
                  <c:v>1.9</c:v>
                </c:pt>
                <c:pt idx="31" formatCode="0.00">
                  <c:v>2</c:v>
                </c:pt>
                <c:pt idx="32" formatCode="0.00">
                  <c:v>2.2000000000000002</c:v>
                </c:pt>
                <c:pt idx="33" formatCode="0.00">
                  <c:v>2.4</c:v>
                </c:pt>
                <c:pt idx="34" formatCode="0.00">
                  <c:v>2.6</c:v>
                </c:pt>
                <c:pt idx="35" formatCode="0.00">
                  <c:v>2.8</c:v>
                </c:pt>
                <c:pt idx="36" formatCode="0.00">
                  <c:v>3</c:v>
                </c:pt>
                <c:pt idx="37" formatCode="0.00">
                  <c:v>3.5</c:v>
                </c:pt>
                <c:pt idx="38" formatCode="0.00">
                  <c:v>4</c:v>
                </c:pt>
                <c:pt idx="39" formatCode="0.00">
                  <c:v>5</c:v>
                </c:pt>
                <c:pt idx="40" formatCode="0.00">
                  <c:v>6</c:v>
                </c:pt>
                <c:pt idx="41" formatCode="0.00">
                  <c:v>7</c:v>
                </c:pt>
                <c:pt idx="42" formatCode="0.00">
                  <c:v>8</c:v>
                </c:pt>
                <c:pt idx="43" formatCode="0.00">
                  <c:v>9</c:v>
                </c:pt>
                <c:pt idx="44" formatCode="0.0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1B2-4B25-826F-2B78F5919CC3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8'!$W$1:$W$60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0">
                  <c:v>1.6638919727383628E-2</c:v>
                </c:pt>
                <c:pt idx="3" formatCode="0.000">
                  <c:v>3.3222468724827814E-2</c:v>
                </c:pt>
                <c:pt idx="4" formatCode="0.000">
                  <c:v>4.9750831254159467E-2</c:v>
                </c:pt>
                <c:pt idx="5" formatCode="0.000">
                  <c:v>6.6224190964021545E-2</c:v>
                </c:pt>
                <c:pt idx="6" formatCode="0.000">
                  <c:v>8.2642730891912541E-2</c:v>
                </c:pt>
                <c:pt idx="7" formatCode="0.000">
                  <c:v>9.9006633466223737E-2</c:v>
                </c:pt>
                <c:pt idx="8" formatCode="0.000">
                  <c:v>0.11531608050826203</c:v>
                </c:pt>
                <c:pt idx="9" formatCode="0.000">
                  <c:v>0.13157125323427499</c:v>
                </c:pt>
                <c:pt idx="10" formatCode="0.000">
                  <c:v>0.14777233225745923</c:v>
                </c:pt>
                <c:pt idx="11" formatCode="0.000">
                  <c:v>0.16391949758997049</c:v>
                </c:pt>
                <c:pt idx="12" formatCode="0.000">
                  <c:v>0.18001292864492313</c:v>
                </c:pt>
                <c:pt idx="13" formatCode="0.000">
                  <c:v>0.19605280423838412</c:v>
                </c:pt>
                <c:pt idx="14" formatCode="0.000">
                  <c:v>0.21203930259135695</c:v>
                </c:pt>
                <c:pt idx="15" formatCode="0.000">
                  <c:v>0.22797260133176678</c:v>
                </c:pt>
                <c:pt idx="16" formatCode="0.000">
                  <c:v>0.24385287749642992</c:v>
                </c:pt>
                <c:pt idx="17" formatCode="0.000">
                  <c:v>0.25968030753302229</c:v>
                </c:pt>
                <c:pt idx="18" formatCode="0.000">
                  <c:v>0.27545506730204117</c:v>
                </c:pt>
                <c:pt idx="19" formatCode="0.000">
                  <c:v>0.2911773320787564</c:v>
                </c:pt>
                <c:pt idx="20" formatCode="0.000">
                  <c:v>0.30684727655516164</c:v>
                </c:pt>
                <c:pt idx="21" formatCode="0.000">
                  <c:v>0.32246507484191111</c:v>
                </c:pt>
                <c:pt idx="22" formatCode="0.000">
                  <c:v>0.35354492639398216</c:v>
                </c:pt>
                <c:pt idx="23" formatCode="0.000">
                  <c:v>0.38441826806682122</c:v>
                </c:pt>
                <c:pt idx="24" formatCode="0.000">
                  <c:v>0.41508647201402848</c:v>
                </c:pt>
                <c:pt idx="25" formatCode="0.000">
                  <c:v>0.44555090127193941</c:v>
                </c:pt>
                <c:pt idx="26" formatCode="0.000">
                  <c:v>0.47581290982020241</c:v>
                </c:pt>
                <c:pt idx="27" formatCode="0.000">
                  <c:v>0.50587384264195567</c:v>
                </c:pt>
                <c:pt idx="28" formatCode="0.000">
                  <c:v>0.5357350357836077</c:v>
                </c:pt>
                <c:pt idx="29" formatCode="0.000">
                  <c:v>0.56539781641421261</c:v>
                </c:pt>
                <c:pt idx="30" formatCode="0.000">
                  <c:v>0.59486350288445899</c:v>
                </c:pt>
                <c:pt idx="31" formatCode="0.000">
                  <c:v>0.62413340478526258</c:v>
                </c:pt>
                <c:pt idx="32" formatCode="0.000">
                  <c:v>0.68209104979217949</c:v>
                </c:pt>
                <c:pt idx="33" formatCode="0.000">
                  <c:v>0.73928105516894327</c:v>
                </c:pt>
                <c:pt idx="34" formatCode="0.000">
                  <c:v>0.79571358817824622</c:v>
                </c:pt>
                <c:pt idx="35" formatCode="0.000">
                  <c:v>0.85139868141903108</c:v>
                </c:pt>
                <c:pt idx="36" formatCode="0.000">
                  <c:v>0.9063462346100909</c:v>
                </c:pt>
                <c:pt idx="37" formatCode="0.000">
                  <c:v>1.0405521683160917</c:v>
                </c:pt>
                <c:pt idx="38" formatCode="0.000">
                  <c:v>1.1703583081767566</c:v>
                </c:pt>
                <c:pt idx="39" formatCode="0.000">
                  <c:v>1.4173434471310538</c:v>
                </c:pt>
                <c:pt idx="40" formatCode="0.000">
                  <c:v>1.6483997698218034</c:v>
                </c:pt>
                <c:pt idx="41" formatCode="0.000">
                  <c:v>1.8645545736347198</c:v>
                </c:pt>
                <c:pt idx="42" formatCode="0.000">
                  <c:v>2.0667689024498408</c:v>
                </c:pt>
                <c:pt idx="43" formatCode="0.000">
                  <c:v>2.2559418195298679</c:v>
                </c:pt>
                <c:pt idx="44" formatCode="0.000">
                  <c:v>2.4329144048370397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1B2-4B25-826F-2B78F5919CC3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8'!$X$1:$X$60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1B2-4B25-826F-2B78F5919CC3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8'!$Y$1:$Y$60</c:f>
              <c:numCache>
                <c:formatCode>General</c:formatCode>
                <c:ptCount val="60"/>
                <c:pt idx="0">
                  <c:v>0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1B2-4B25-826F-2B78F5919CC3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8'!$Z$1:$Z$60</c:f>
              <c:numCache>
                <c:formatCode>General</c:formatCode>
                <c:ptCount val="60"/>
                <c:pt idx="0">
                  <c:v>0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1B2-4B25-826F-2B78F5919CC3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8'!$AA$1:$AA$60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1B2-4B25-826F-2B78F5919CC3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8'!$AB$1:$AB$60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0.25</c:v>
                </c:pt>
                <c:pt idx="7" formatCode="0.00">
                  <c:v>0.3</c:v>
                </c:pt>
                <c:pt idx="8" formatCode="0.00">
                  <c:v>0.35</c:v>
                </c:pt>
                <c:pt idx="9" formatCode="0.00">
                  <c:v>0.4</c:v>
                </c:pt>
                <c:pt idx="10" formatCode="0.00">
                  <c:v>0.45</c:v>
                </c:pt>
                <c:pt idx="11" formatCode="0.00">
                  <c:v>0.5</c:v>
                </c:pt>
                <c:pt idx="12" formatCode="0.00">
                  <c:v>0.55000000000000004</c:v>
                </c:pt>
                <c:pt idx="13" formatCode="0.00">
                  <c:v>0.6</c:v>
                </c:pt>
                <c:pt idx="14" formatCode="0.00">
                  <c:v>0.65</c:v>
                </c:pt>
                <c:pt idx="15" formatCode="0.00">
                  <c:v>0.7</c:v>
                </c:pt>
                <c:pt idx="16" formatCode="0.00">
                  <c:v>0.75</c:v>
                </c:pt>
                <c:pt idx="17" formatCode="0.00">
                  <c:v>0.8</c:v>
                </c:pt>
                <c:pt idx="18" formatCode="0.00">
                  <c:v>0.85</c:v>
                </c:pt>
                <c:pt idx="19" formatCode="0.00">
                  <c:v>0.9</c:v>
                </c:pt>
                <c:pt idx="20" formatCode="0.00">
                  <c:v>0.95</c:v>
                </c:pt>
                <c:pt idx="21" formatCode="0.00">
                  <c:v>1</c:v>
                </c:pt>
                <c:pt idx="22" formatCode="0.00">
                  <c:v>1.1000000000000001</c:v>
                </c:pt>
                <c:pt idx="23" formatCode="0.00">
                  <c:v>1.2</c:v>
                </c:pt>
                <c:pt idx="24" formatCode="0.00">
                  <c:v>1.3</c:v>
                </c:pt>
                <c:pt idx="25" formatCode="0.00">
                  <c:v>1.4</c:v>
                </c:pt>
                <c:pt idx="26" formatCode="0.00">
                  <c:v>1.5</c:v>
                </c:pt>
                <c:pt idx="27" formatCode="0.00">
                  <c:v>1.6</c:v>
                </c:pt>
                <c:pt idx="28" formatCode="0.00">
                  <c:v>1.7</c:v>
                </c:pt>
                <c:pt idx="29" formatCode="0.00">
                  <c:v>1.8</c:v>
                </c:pt>
                <c:pt idx="30" formatCode="0.00">
                  <c:v>1.9</c:v>
                </c:pt>
                <c:pt idx="31" formatCode="0.00">
                  <c:v>2</c:v>
                </c:pt>
                <c:pt idx="32" formatCode="0.00">
                  <c:v>2.2000000000000002</c:v>
                </c:pt>
                <c:pt idx="33" formatCode="0.00">
                  <c:v>2.4</c:v>
                </c:pt>
                <c:pt idx="34" formatCode="0.00">
                  <c:v>2.6</c:v>
                </c:pt>
                <c:pt idx="35" formatCode="0.00">
                  <c:v>2.8</c:v>
                </c:pt>
                <c:pt idx="36" formatCode="0.00">
                  <c:v>3</c:v>
                </c:pt>
                <c:pt idx="37" formatCode="0.00">
                  <c:v>3.5</c:v>
                </c:pt>
                <c:pt idx="38" formatCode="0.00">
                  <c:v>4</c:v>
                </c:pt>
                <c:pt idx="39" formatCode="0.00">
                  <c:v>5</c:v>
                </c:pt>
                <c:pt idx="40" formatCode="0.00">
                  <c:v>6</c:v>
                </c:pt>
                <c:pt idx="41" formatCode="0.00">
                  <c:v>7</c:v>
                </c:pt>
                <c:pt idx="42" formatCode="0.00">
                  <c:v>8</c:v>
                </c:pt>
                <c:pt idx="43" formatCode="0.00">
                  <c:v>9</c:v>
                </c:pt>
                <c:pt idx="44" formatCode="0.0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1B2-4B25-826F-2B78F5919CC3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8'!$AC$1:$AC$60</c:f>
              <c:numCache>
                <c:formatCode>0</c:formatCode>
                <c:ptCount val="60"/>
                <c:pt idx="0" formatCode="General">
                  <c:v>0</c:v>
                </c:pt>
                <c:pt idx="1">
                  <c:v>0</c:v>
                </c:pt>
                <c:pt idx="2" formatCode="0.000">
                  <c:v>1.2484388012699577E-2</c:v>
                </c:pt>
                <c:pt idx="3" formatCode="0.000">
                  <c:v>2.4937604036588401E-2</c:v>
                </c:pt>
                <c:pt idx="4" formatCode="0.000">
                  <c:v>3.7359725904307917E-2</c:v>
                </c:pt>
                <c:pt idx="5" formatCode="0.000">
                  <c:v>4.9750831254159467E-2</c:v>
                </c:pt>
                <c:pt idx="6" formatCode="0.000">
                  <c:v>6.2110997530592793E-2</c:v>
                </c:pt>
                <c:pt idx="7" formatCode="0.000">
                  <c:v>7.4440301984686763E-2</c:v>
                </c:pt>
                <c:pt idx="8" formatCode="0.000">
                  <c:v>8.6738821674633981E-2</c:v>
                </c:pt>
                <c:pt idx="9" formatCode="0.000">
                  <c:v>9.9006633466223737E-2</c:v>
                </c:pt>
                <c:pt idx="10" formatCode="0.000">
                  <c:v>0.11124381403331829</c:v>
                </c:pt>
                <c:pt idx="11" formatCode="0.000">
                  <c:v>0.12345043985833692</c:v>
                </c:pt>
                <c:pt idx="12" formatCode="0.000">
                  <c:v>0.13562658723273002</c:v>
                </c:pt>
                <c:pt idx="13" formatCode="0.000">
                  <c:v>0.14777233225745923</c:v>
                </c:pt>
                <c:pt idx="14" formatCode="0.000">
                  <c:v>0.15988775084346984</c:v>
                </c:pt>
                <c:pt idx="15" formatCode="0.000">
                  <c:v>0.17197291871216769</c:v>
                </c:pt>
                <c:pt idx="16" formatCode="0.000">
                  <c:v>0.18402791139589092</c:v>
                </c:pt>
                <c:pt idx="17" formatCode="0.000">
                  <c:v>0.19605280423838412</c:v>
                </c:pt>
                <c:pt idx="18" formatCode="0.000">
                  <c:v>0.20804767239526512</c:v>
                </c:pt>
                <c:pt idx="19" formatCode="0.000">
                  <c:v>0.2200125908345002</c:v>
                </c:pt>
                <c:pt idx="20" formatCode="0.000">
                  <c:v>0.23194763433686816</c:v>
                </c:pt>
                <c:pt idx="21" formatCode="0.000">
                  <c:v>0.24385287749642992</c:v>
                </c:pt>
                <c:pt idx="22" formatCode="0.000">
                  <c:v>0.26757426023258091</c:v>
                </c:pt>
                <c:pt idx="23" formatCode="0.000">
                  <c:v>0.2911773320787564</c:v>
                </c:pt>
                <c:pt idx="24" formatCode="0.000">
                  <c:v>0.31466268311298284</c:v>
                </c:pt>
                <c:pt idx="25" formatCode="0.000">
                  <c:v>0.33803090047025863</c:v>
                </c:pt>
                <c:pt idx="26" formatCode="0.000">
                  <c:v>0.36128256835723571</c:v>
                </c:pt>
                <c:pt idx="27" formatCode="0.000">
                  <c:v>0.38441826806682122</c:v>
                </c:pt>
                <c:pt idx="28" formatCode="0.000">
                  <c:v>0.4074385779927131</c:v>
                </c:pt>
                <c:pt idx="29" formatCode="0.000">
                  <c:v>0.43034407364385907</c:v>
                </c:pt>
                <c:pt idx="30" formatCode="0.000">
                  <c:v>0.4531353276588429</c:v>
                </c:pt>
                <c:pt idx="31" formatCode="0.000">
                  <c:v>0.47581290982020241</c:v>
                </c:pt>
                <c:pt idx="32" formatCode="0.000">
                  <c:v>0.52082932351735889</c:v>
                </c:pt>
                <c:pt idx="33" formatCode="0.000">
                  <c:v>0.56539781641421261</c:v>
                </c:pt>
                <c:pt idx="34" formatCode="0.000">
                  <c:v>0.60952284539719348</c:v>
                </c:pt>
                <c:pt idx="35" formatCode="0.000">
                  <c:v>0.65320882300597072</c:v>
                </c:pt>
                <c:pt idx="36" formatCode="0.000">
                  <c:v>0.69646011787471096</c:v>
                </c:pt>
                <c:pt idx="37" formatCode="0.000">
                  <c:v>0.80271489615396319</c:v>
                </c:pt>
                <c:pt idx="38" formatCode="0.000">
                  <c:v>0.9063462346100909</c:v>
                </c:pt>
                <c:pt idx="39" formatCode="0.000">
                  <c:v>1.1059960846429755</c:v>
                </c:pt>
                <c:pt idx="40" formatCode="0.000">
                  <c:v>1.2959088965914107</c:v>
                </c:pt>
                <c:pt idx="41" formatCode="0.000">
                  <c:v>1.4765595514064329</c:v>
                </c:pt>
                <c:pt idx="42" formatCode="0.000">
                  <c:v>1.6483997698218034</c:v>
                </c:pt>
                <c:pt idx="43" formatCode="0.000">
                  <c:v>1.8118592418911335</c:v>
                </c:pt>
                <c:pt idx="44" formatCode="0.000">
                  <c:v>1.9673467014368329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1B2-4B25-826F-2B78F5919CC3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8'!$AD$1:$AD$60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1B2-4B25-826F-2B78F5919CC3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8'!$AE$1:$AE$60</c:f>
              <c:numCache>
                <c:formatCode>General</c:formatCode>
                <c:ptCount val="60"/>
                <c:pt idx="0">
                  <c:v>0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1B2-4B25-826F-2B78F5919CC3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8'!$AF$1:$AF$60</c:f>
              <c:numCache>
                <c:formatCode>General</c:formatCode>
                <c:ptCount val="60"/>
                <c:pt idx="0">
                  <c:v>0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1B2-4B25-826F-2B78F5919CC3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8'!$AG$1:$AG$60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1B2-4B25-826F-2B78F5919CC3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8'!$AH$1:$AH$60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1B2-4B25-826F-2B78F5919CC3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8'!$AI$1:$AI$60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1B2-4B25-826F-2B78F5919CC3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'Practica 8'!$AJ$1:$AJ$60</c:f>
              <c:numCache>
                <c:formatCode>General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1B2-4B25-826F-2B78F5919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978592"/>
        <c:axId val="262983632"/>
      </c:lineChart>
      <c:catAx>
        <c:axId val="262978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2983632"/>
        <c:crosses val="autoZero"/>
        <c:auto val="1"/>
        <c:lblAlgn val="ctr"/>
        <c:lblOffset val="100"/>
        <c:noMultiLvlLbl val="0"/>
      </c:catAx>
      <c:valAx>
        <c:axId val="2629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29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11</xdr:row>
      <xdr:rowOff>128587</xdr:rowOff>
    </xdr:from>
    <xdr:to>
      <xdr:col>14</xdr:col>
      <xdr:colOff>533400</xdr:colOff>
      <xdr:row>26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4E3B15-A2FB-4B35-94D8-E632CB528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11</xdr:row>
      <xdr:rowOff>128587</xdr:rowOff>
    </xdr:from>
    <xdr:to>
      <xdr:col>14</xdr:col>
      <xdr:colOff>361950</xdr:colOff>
      <xdr:row>26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247BDA-2B9F-499D-82AB-D77D9D577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361950</xdr:colOff>
      <xdr:row>11</xdr:row>
      <xdr:rowOff>128587</xdr:rowOff>
    </xdr:from>
    <xdr:to>
      <xdr:col>14</xdr:col>
      <xdr:colOff>361950</xdr:colOff>
      <xdr:row>26</xdr:row>
      <xdr:rowOff>14287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43DEC5E-E261-44B1-BBB0-00FEFB994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245646</xdr:colOff>
      <xdr:row>63</xdr:row>
      <xdr:rowOff>33421</xdr:rowOff>
    </xdr:from>
    <xdr:to>
      <xdr:col>10</xdr:col>
      <xdr:colOff>534737</xdr:colOff>
      <xdr:row>101</xdr:row>
      <xdr:rowOff>150394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C5" totalsRowShown="0" headerRowDxfId="16" dataDxfId="15">
  <autoFilter ref="A1:C5" xr:uid="{00000000-0009-0000-0100-000001000000}"/>
  <sortState xmlns:xlrd2="http://schemas.microsoft.com/office/spreadsheetml/2017/richdata2" ref="A2:C5">
    <sortCondition ref="A1:A5"/>
  </sortState>
  <tableColumns count="3">
    <tableColumn id="1" xr3:uid="{00000000-0010-0000-0000-000001000000}" name="Nombre" dataDxfId="14"/>
    <tableColumn id="2" xr3:uid="{00000000-0010-0000-0000-000002000000}" name="Encargado" dataDxfId="13"/>
    <tableColumn id="3" xr3:uid="{00000000-0010-0000-0000-000003000000}" name="Presupuesto" dataDxfId="1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A1:F11" totalsRowShown="0">
  <autoFilter ref="A1:F11" xr:uid="{00000000-0009-0000-0100-000003000000}"/>
  <tableColumns count="6">
    <tableColumn id="1" xr3:uid="{00000000-0010-0000-0100-000001000000}" name=" Nombre del componente"/>
    <tableColumn id="2" xr3:uid="{00000000-0010-0000-0100-000002000000}" name="Descripcion del componente "/>
    <tableColumn id="3" xr3:uid="{00000000-0010-0000-0100-000003000000}" name="Cantidad a comprar"/>
    <tableColumn id="4" xr3:uid="{00000000-0010-0000-0100-000004000000}" name="Costo unitario"/>
    <tableColumn id="5" xr3:uid="{00000000-0010-0000-0100-000005000000}" name="Costo total" dataDxfId="11">
      <calculatedColumnFormula>Tabla3[[#This Row],[Cantidad a comprar]]*Tabla3[[#This Row],[Costo unitario]]</calculatedColumnFormula>
    </tableColumn>
    <tableColumn id="6" xr3:uid="{00000000-0010-0000-0100-000006000000}" name="Link del produc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2" displayName="Tabla2" ref="A1:G23" totalsRowShown="0">
  <autoFilter ref="A1:G23" xr:uid="{00000000-0009-0000-0100-000002000000}"/>
  <tableColumns count="7">
    <tableColumn id="1" xr3:uid="{00000000-0010-0000-0200-000001000000}" name="Nombre"/>
    <tableColumn id="2" xr3:uid="{00000000-0010-0000-0200-000002000000}" name="Apellidos"/>
    <tableColumn id="3" xr3:uid="{00000000-0010-0000-0200-000003000000}" name="Clase"/>
    <tableColumn id="4" xr3:uid="{00000000-0010-0000-0200-000004000000}" name="Lenguaje"/>
    <tableColumn id="5" xr3:uid="{00000000-0010-0000-0200-000005000000}" name="Matemáticas"/>
    <tableColumn id="6" xr3:uid="{00000000-0010-0000-0200-000006000000}" name="História"/>
    <tableColumn id="7" xr3:uid="{00000000-0010-0000-0200-000007000000}" name="Media" dataDxfId="7">
      <calculatedColumnFormula>(D2+E2+F2)/3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I8:K9" totalsRowShown="0">
  <autoFilter ref="I8:K9" xr:uid="{00000000-0009-0000-0100-000004000000}"/>
  <tableColumns count="3">
    <tableColumn id="1" xr3:uid="{00000000-0010-0000-0300-000001000000}" name=" Moda Lenguaje ">
      <calculatedColumnFormula>MODE(D2:D23)</calculatedColumnFormula>
    </tableColumn>
    <tableColumn id="2" xr3:uid="{00000000-0010-0000-0300-000002000000}" name="Moda Historia">
      <calculatedColumnFormula>MODE(F2:F23)</calculatedColumnFormula>
    </tableColumn>
    <tableColumn id="3" xr3:uid="{00000000-0010-0000-0300-000003000000}" name="Moda matematicas">
      <calculatedColumnFormula>MODE(E2:E23)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I13:K14" totalsRowShown="0">
  <autoFilter ref="I13:K14" xr:uid="{00000000-0009-0000-0100-000005000000}"/>
  <tableColumns count="3">
    <tableColumn id="1" xr3:uid="{00000000-0010-0000-0400-000001000000}" name="Prom lenguaje" dataDxfId="6">
      <calculatedColumnFormula>AVERAGE(D2:D23)</calculatedColumnFormula>
    </tableColumn>
    <tableColumn id="2" xr3:uid="{00000000-0010-0000-0400-000002000000}" name="Prom mate" dataDxfId="5">
      <calculatedColumnFormula>AVERAGE(E2:E23)</calculatedColumnFormula>
    </tableColumn>
    <tableColumn id="3" xr3:uid="{00000000-0010-0000-0400-000003000000}" name="Prom historia" dataDxfId="4">
      <calculatedColumnFormula>AVERAGE(F2:F23)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I16:K17" totalsRowShown="0">
  <autoFilter ref="I16:K17" xr:uid="{00000000-0009-0000-0100-000006000000}"/>
  <tableColumns count="3">
    <tableColumn id="1" xr3:uid="{00000000-0010-0000-0500-000001000000}" name="Aprobados de lenguaje " dataDxfId="3">
      <calculatedColumnFormula>COUNTIF(D2:D23,"&gt;=6")</calculatedColumnFormula>
    </tableColumn>
    <tableColumn id="2" xr3:uid="{00000000-0010-0000-0500-000002000000}" name="Aprobados matematicas">
      <calculatedColumnFormula>COUNTIF(E2:E23,"&gt;=6")</calculatedColumnFormula>
    </tableColumn>
    <tableColumn id="3" xr3:uid="{00000000-0010-0000-0500-000003000000}" name="Aprobados historia">
      <calculatedColumnFormula>COUNTIF(F2:F23,"&gt;=6")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7" displayName="Tabla7" ref="I20:K21" totalsRowShown="0">
  <autoFilter ref="I20:K21" xr:uid="{00000000-0009-0000-0100-000007000000}"/>
  <tableColumns count="3">
    <tableColumn id="1" xr3:uid="{00000000-0010-0000-0600-000001000000}" name="Reprobados lenguaje">
      <calculatedColumnFormula>COUNTIF(D2:D23,"&lt;6")</calculatedColumnFormula>
    </tableColumn>
    <tableColumn id="2" xr3:uid="{00000000-0010-0000-0600-000002000000}" name="Reprobados matematicas ">
      <calculatedColumnFormula>COUNTIF(E2:E23,"&lt;6")</calculatedColumnFormula>
    </tableColumn>
    <tableColumn id="3" xr3:uid="{00000000-0010-0000-0600-000003000000}" name="Reprobados historia">
      <calculatedColumnFormula>COUNTIF(F2:F23,"&lt;6")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8" displayName="Tabla8" ref="I23:K24" totalsRowShown="0">
  <autoFilter ref="I23:K24" xr:uid="{00000000-0009-0000-0100-000008000000}"/>
  <tableColumns count="3">
    <tableColumn id="1" xr3:uid="{00000000-0010-0000-0700-000001000000}" name="Nota maxima Lenguaje">
      <calculatedColumnFormula>MAX(D2:D23)</calculatedColumnFormula>
    </tableColumn>
    <tableColumn id="2" xr3:uid="{00000000-0010-0000-0700-000002000000}" name="Nota maxima Lenguaje2">
      <calculatedColumnFormula>MAX(E2:E23)</calculatedColumnFormula>
    </tableColumn>
    <tableColumn id="3" xr3:uid="{00000000-0010-0000-0700-000003000000}" name="Nota maxima Lenguaje3">
      <calculatedColumnFormula>MAX(F2:F23)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9" displayName="Tabla9" ref="N9:P10" totalsRowShown="0">
  <autoFilter ref="N9:P10" xr:uid="{00000000-0009-0000-0100-000009000000}"/>
  <tableColumns count="3">
    <tableColumn id="1" xr3:uid="{00000000-0010-0000-0800-000001000000}" name="Lenguaje A" dataDxfId="2">
      <calculatedColumnFormula>DAVERAGE(calificaciones,"Lenguaje",P3:P4)</calculatedColumnFormula>
    </tableColumn>
    <tableColumn id="2" xr3:uid="{00000000-0010-0000-0800-000002000000}" name="Matematicas A" dataDxfId="1">
      <calculatedColumnFormula>DAVERAGE(calificaciones,"Matemáticas",P3:P4)</calculatedColumnFormula>
    </tableColumn>
    <tableColumn id="3" xr3:uid="{00000000-0010-0000-0800-000003000000}" name="Historia A" dataDxfId="0">
      <calculatedColumnFormula>DAVERAGE(calificaciones,"História",P3:P4)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mexico.newark.com/?&amp;CMP=KNC-GMX-BRAND-ES-ONLY-CONTROL-S43&amp;mckv=su8AqcKVM_dc|pcrid|569194172836|plid||kword|newark%20supply|match|b|slid||product||pgrid|152734868369|ptaid|kwd-2873535176|&amp;gad_source=1&amp;gad_campaignid=20251415437&amp;gbraid=0AAAAAD5U_g3n55csvh7H8N9HVr6pkid6b&amp;gclid=CjwKCAjwtIfPBhAzEiwAv9RTJp7ET7bkYwxgzHFPmuTOUVSIPYkuyiIyGm5O-5dyD3YwWM1vtIe7eBoCQYoQAvD_BwE" TargetMode="External"/><Relationship Id="rId1" Type="http://schemas.openxmlformats.org/officeDocument/2006/relationships/hyperlink" Target="https://www.steren.com.mx/led-de-5-mm-color-rojo-claro.html" TargetMode="Externa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zoomScale="199" zoomScaleNormal="364" workbookViewId="0">
      <selection activeCell="D4" sqref="D4"/>
    </sheetView>
  </sheetViews>
  <sheetFormatPr baseColWidth="10" defaultRowHeight="15" x14ac:dyDescent="0.25"/>
  <cols>
    <col min="2" max="2" width="20.42578125" customWidth="1"/>
    <col min="5" max="5" width="24.42578125" bestFit="1" customWidth="1"/>
  </cols>
  <sheetData>
    <row r="2" spans="2:6" x14ac:dyDescent="0.25">
      <c r="B2" s="5" t="s">
        <v>1</v>
      </c>
      <c r="C2" s="2" t="s">
        <v>3</v>
      </c>
      <c r="D2" s="52" t="s">
        <v>4</v>
      </c>
      <c r="E2" s="53"/>
    </row>
    <row r="3" spans="2:6" x14ac:dyDescent="0.25">
      <c r="B3" s="6" t="s">
        <v>0</v>
      </c>
      <c r="C3" s="3"/>
      <c r="D3" s="1">
        <v>1</v>
      </c>
      <c r="E3" s="1">
        <v>2</v>
      </c>
    </row>
    <row r="4" spans="2:6" ht="46.5" customHeight="1" x14ac:dyDescent="0.25">
      <c r="B4" s="7" t="s">
        <v>2</v>
      </c>
      <c r="C4" s="4"/>
      <c r="E4" s="8">
        <v>46128</v>
      </c>
    </row>
    <row r="6" spans="2:6" x14ac:dyDescent="0.25">
      <c r="F6" s="1"/>
    </row>
  </sheetData>
  <mergeCells count="1">
    <mergeCell ref="D2:E2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K15"/>
  <sheetViews>
    <sheetView tabSelected="1" topLeftCell="E1" zoomScale="50" zoomScaleNormal="51" workbookViewId="0">
      <selection activeCell="L8" sqref="L8"/>
    </sheetView>
  </sheetViews>
  <sheetFormatPr baseColWidth="10" defaultRowHeight="15" x14ac:dyDescent="0.25"/>
  <cols>
    <col min="4" max="4" width="2.28515625" customWidth="1"/>
    <col min="5" max="5" width="19.5703125" customWidth="1"/>
    <col min="6" max="6" width="56.28515625" customWidth="1"/>
    <col min="7" max="7" width="40.42578125" customWidth="1"/>
    <col min="8" max="8" width="86.42578125" customWidth="1"/>
    <col min="9" max="9" width="112.28515625" bestFit="1" customWidth="1"/>
    <col min="10" max="10" width="45.85546875" bestFit="1" customWidth="1"/>
  </cols>
  <sheetData>
    <row r="2" spans="4:11" x14ac:dyDescent="0.25">
      <c r="D2" s="54"/>
      <c r="E2" s="54"/>
      <c r="F2" s="54"/>
      <c r="G2" s="54"/>
      <c r="H2" s="54"/>
      <c r="I2" s="54"/>
    </row>
    <row r="3" spans="4:11" x14ac:dyDescent="0.25">
      <c r="D3" s="54"/>
      <c r="E3" s="54"/>
      <c r="F3" s="54"/>
      <c r="G3" s="54"/>
      <c r="H3" s="54"/>
      <c r="I3" s="54"/>
    </row>
    <row r="4" spans="4:11" ht="43.5" customHeight="1" thickBot="1" x14ac:dyDescent="0.95">
      <c r="E4" s="73" t="s">
        <v>204</v>
      </c>
      <c r="F4" s="65"/>
      <c r="G4" s="65"/>
      <c r="H4" s="65"/>
      <c r="I4" s="65"/>
      <c r="J4" s="65"/>
    </row>
    <row r="5" spans="4:11" ht="33" thickTop="1" thickBot="1" x14ac:dyDescent="0.3">
      <c r="E5" s="9" t="s">
        <v>5</v>
      </c>
      <c r="F5" s="44" t="s">
        <v>6</v>
      </c>
      <c r="G5" s="44" t="s">
        <v>7</v>
      </c>
      <c r="H5" s="44" t="s">
        <v>8</v>
      </c>
      <c r="I5" s="44" t="s">
        <v>9</v>
      </c>
      <c r="J5" s="45" t="s">
        <v>10</v>
      </c>
    </row>
    <row r="6" spans="4:11" ht="60" customHeight="1" thickTop="1" thickBot="1" x14ac:dyDescent="0.3">
      <c r="E6" s="13" t="s">
        <v>11</v>
      </c>
      <c r="F6" s="46"/>
      <c r="G6" s="47" t="s">
        <v>12</v>
      </c>
      <c r="H6" s="47" t="s">
        <v>12</v>
      </c>
      <c r="I6" s="47" t="s">
        <v>12</v>
      </c>
      <c r="J6" s="47" t="s">
        <v>12</v>
      </c>
    </row>
    <row r="7" spans="4:11" ht="66" customHeight="1" thickTop="1" thickBot="1" x14ac:dyDescent="0.3">
      <c r="E7" s="10" t="s">
        <v>13</v>
      </c>
      <c r="F7" s="69" t="s">
        <v>14</v>
      </c>
      <c r="G7" s="69" t="s">
        <v>14</v>
      </c>
      <c r="H7" s="69" t="s">
        <v>14</v>
      </c>
      <c r="I7" s="69" t="s">
        <v>14</v>
      </c>
      <c r="J7" s="69" t="s">
        <v>14</v>
      </c>
    </row>
    <row r="8" spans="4:11" ht="73.5" customHeight="1" thickTop="1" thickBot="1" x14ac:dyDescent="0.3">
      <c r="E8" s="13" t="s">
        <v>15</v>
      </c>
      <c r="F8" s="70"/>
      <c r="G8" s="70"/>
      <c r="H8" s="70"/>
      <c r="I8" s="70"/>
      <c r="J8" s="70"/>
    </row>
    <row r="9" spans="4:11" ht="90" customHeight="1" thickTop="1" thickBot="1" x14ac:dyDescent="0.3">
      <c r="E9" s="10" t="s">
        <v>16</v>
      </c>
      <c r="F9" s="71" t="s">
        <v>17</v>
      </c>
      <c r="G9" s="71" t="s">
        <v>17</v>
      </c>
      <c r="H9" s="71" t="s">
        <v>17</v>
      </c>
      <c r="I9" s="71" t="s">
        <v>17</v>
      </c>
      <c r="J9" s="55" t="s">
        <v>203</v>
      </c>
    </row>
    <row r="10" spans="4:11" ht="52.5" customHeight="1" thickTop="1" x14ac:dyDescent="0.25">
      <c r="E10" s="58" t="s">
        <v>18</v>
      </c>
      <c r="F10" s="59" t="s">
        <v>19</v>
      </c>
      <c r="G10" s="61"/>
      <c r="H10" s="63" t="s">
        <v>19</v>
      </c>
      <c r="I10" s="63" t="s">
        <v>19</v>
      </c>
      <c r="J10" s="56"/>
    </row>
    <row r="11" spans="4:11" ht="59.25" customHeight="1" thickBot="1" x14ac:dyDescent="0.3">
      <c r="E11" s="58"/>
      <c r="F11" s="60"/>
      <c r="G11" s="62"/>
      <c r="H11" s="64"/>
      <c r="I11" s="64"/>
      <c r="J11" s="57"/>
    </row>
    <row r="12" spans="4:11" ht="72" customHeight="1" thickTop="1" thickBot="1" x14ac:dyDescent="0.3">
      <c r="E12" s="10" t="s">
        <v>20</v>
      </c>
      <c r="F12" s="51" t="s">
        <v>21</v>
      </c>
      <c r="G12" s="51" t="s">
        <v>21</v>
      </c>
      <c r="H12" s="51" t="s">
        <v>21</v>
      </c>
      <c r="I12" s="51" t="s">
        <v>21</v>
      </c>
      <c r="J12" s="51" t="s">
        <v>21</v>
      </c>
    </row>
    <row r="13" spans="4:11" ht="52.5" customHeight="1" thickTop="1" thickBot="1" x14ac:dyDescent="0.3">
      <c r="E13" s="13" t="s">
        <v>22</v>
      </c>
      <c r="F13" s="48"/>
      <c r="G13" s="49"/>
      <c r="H13" s="72" t="s">
        <v>23</v>
      </c>
      <c r="I13" s="72" t="s">
        <v>23</v>
      </c>
      <c r="J13" s="72" t="s">
        <v>23</v>
      </c>
    </row>
    <row r="14" spans="4:11" ht="52.5" customHeight="1" thickTop="1" thickBot="1" x14ac:dyDescent="0.3">
      <c r="E14" s="11" t="s">
        <v>24</v>
      </c>
      <c r="F14" s="50" t="s">
        <v>25</v>
      </c>
      <c r="G14" s="50" t="s">
        <v>25</v>
      </c>
      <c r="H14" s="50" t="s">
        <v>25</v>
      </c>
      <c r="I14" s="50" t="s">
        <v>25</v>
      </c>
      <c r="J14" s="50" t="s">
        <v>25</v>
      </c>
      <c r="K14" s="12"/>
    </row>
    <row r="15" spans="4:11" ht="15.75" thickTop="1" x14ac:dyDescent="0.25"/>
  </sheetData>
  <mergeCells count="8">
    <mergeCell ref="D2:I3"/>
    <mergeCell ref="J9:J11"/>
    <mergeCell ref="E10:E11"/>
    <mergeCell ref="F10:F11"/>
    <mergeCell ref="G10:G11"/>
    <mergeCell ref="H10:H11"/>
    <mergeCell ref="I10:I11"/>
    <mergeCell ref="E4:J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H12" sqref="H12"/>
    </sheetView>
  </sheetViews>
  <sheetFormatPr baseColWidth="10" defaultRowHeight="15" x14ac:dyDescent="0.25"/>
  <cols>
    <col min="1" max="1" width="11.42578125" style="1"/>
    <col min="2" max="2" width="12.140625" style="1" customWidth="1"/>
    <col min="3" max="3" width="14.28515625" customWidth="1"/>
  </cols>
  <sheetData>
    <row r="1" spans="1:3" x14ac:dyDescent="0.25">
      <c r="A1" s="15" t="s">
        <v>26</v>
      </c>
      <c r="B1" s="15" t="s">
        <v>27</v>
      </c>
      <c r="C1" s="14" t="s">
        <v>28</v>
      </c>
    </row>
    <row r="2" spans="1:3" x14ac:dyDescent="0.25">
      <c r="A2" s="15" t="s">
        <v>31</v>
      </c>
      <c r="B2" s="15" t="s">
        <v>34</v>
      </c>
      <c r="C2" s="14">
        <v>1000</v>
      </c>
    </row>
    <row r="3" spans="1:3" x14ac:dyDescent="0.25">
      <c r="A3" s="15" t="s">
        <v>29</v>
      </c>
      <c r="B3" s="15" t="s">
        <v>32</v>
      </c>
      <c r="C3" s="14">
        <v>10000</v>
      </c>
    </row>
    <row r="4" spans="1:3" x14ac:dyDescent="0.25">
      <c r="A4" s="15" t="s">
        <v>30</v>
      </c>
      <c r="B4" s="15" t="s">
        <v>33</v>
      </c>
      <c r="C4" s="14">
        <v>5000</v>
      </c>
    </row>
    <row r="5" spans="1:3" x14ac:dyDescent="0.25">
      <c r="A5" s="15" t="s">
        <v>35</v>
      </c>
      <c r="B5" s="15" t="s">
        <v>36</v>
      </c>
      <c r="C5" s="14">
        <v>20000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opLeftCell="B5" zoomScale="88" zoomScaleNormal="41" workbookViewId="0">
      <selection activeCell="B21" sqref="B21"/>
    </sheetView>
  </sheetViews>
  <sheetFormatPr baseColWidth="10" defaultRowHeight="15" x14ac:dyDescent="0.25"/>
  <cols>
    <col min="1" max="1" width="25.85546875" customWidth="1"/>
    <col min="2" max="2" width="129.28515625" bestFit="1" customWidth="1"/>
    <col min="3" max="3" width="20.140625" customWidth="1"/>
    <col min="4" max="4" width="15.5703125" customWidth="1"/>
    <col min="5" max="5" width="12.7109375" customWidth="1"/>
    <col min="6" max="6" width="255.42578125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ht="19.5" customHeight="1" x14ac:dyDescent="0.25">
      <c r="A2" t="s">
        <v>43</v>
      </c>
      <c r="B2" s="21" t="s">
        <v>107</v>
      </c>
      <c r="C2">
        <v>5</v>
      </c>
      <c r="D2">
        <v>0.45</v>
      </c>
      <c r="E2">
        <f>Tabla3[[#This Row],[Cantidad a comprar]]*Tabla3[[#This Row],[Costo unitario]]</f>
        <v>2.25</v>
      </c>
      <c r="F2" t="s">
        <v>116</v>
      </c>
    </row>
    <row r="3" spans="1:6" x14ac:dyDescent="0.25">
      <c r="A3" t="s">
        <v>44</v>
      </c>
      <c r="B3" s="21" t="s">
        <v>113</v>
      </c>
      <c r="C3">
        <v>4</v>
      </c>
      <c r="D3">
        <v>1</v>
      </c>
      <c r="E3">
        <f>Tabla3[[#This Row],[Cantidad a comprar]]*Tabla3[[#This Row],[Costo unitario]]</f>
        <v>4</v>
      </c>
      <c r="F3" t="s">
        <v>117</v>
      </c>
    </row>
    <row r="4" spans="1:6" x14ac:dyDescent="0.25">
      <c r="A4" t="s">
        <v>45</v>
      </c>
      <c r="B4" s="21" t="s">
        <v>109</v>
      </c>
      <c r="C4">
        <v>8</v>
      </c>
      <c r="D4">
        <v>2</v>
      </c>
      <c r="E4">
        <f>Tabla3[[#This Row],[Cantidad a comprar]]*Tabla3[[#This Row],[Costo unitario]]</f>
        <v>16</v>
      </c>
      <c r="F4" t="s">
        <v>118</v>
      </c>
    </row>
    <row r="5" spans="1:6" x14ac:dyDescent="0.25">
      <c r="A5" t="s">
        <v>46</v>
      </c>
      <c r="B5" s="21" t="s">
        <v>108</v>
      </c>
      <c r="C5">
        <v>4</v>
      </c>
      <c r="D5">
        <v>3</v>
      </c>
      <c r="E5">
        <f>Tabla3[[#This Row],[Cantidad a comprar]]*Tabla3[[#This Row],[Costo unitario]]</f>
        <v>12</v>
      </c>
      <c r="F5" t="s">
        <v>119</v>
      </c>
    </row>
    <row r="6" spans="1:6" x14ac:dyDescent="0.25">
      <c r="A6" t="s">
        <v>45</v>
      </c>
      <c r="B6" s="21" t="s">
        <v>111</v>
      </c>
      <c r="C6">
        <v>6</v>
      </c>
      <c r="D6">
        <v>4</v>
      </c>
      <c r="E6">
        <f>Tabla3[[#This Row],[Cantidad a comprar]]*Tabla3[[#This Row],[Costo unitario]]</f>
        <v>24</v>
      </c>
      <c r="F6" s="23" t="s">
        <v>120</v>
      </c>
    </row>
    <row r="7" spans="1:6" x14ac:dyDescent="0.25">
      <c r="A7" t="s">
        <v>47</v>
      </c>
      <c r="B7" s="22" t="s">
        <v>126</v>
      </c>
      <c r="C7">
        <v>3</v>
      </c>
      <c r="D7">
        <v>4</v>
      </c>
      <c r="E7">
        <f>Tabla3[[#This Row],[Cantidad a comprar]]*Tabla3[[#This Row],[Costo unitario]]</f>
        <v>12</v>
      </c>
      <c r="F7" s="23" t="s">
        <v>121</v>
      </c>
    </row>
    <row r="8" spans="1:6" x14ac:dyDescent="0.25">
      <c r="A8" t="s">
        <v>48</v>
      </c>
      <c r="B8" s="21" t="s">
        <v>110</v>
      </c>
      <c r="C8">
        <v>1</v>
      </c>
      <c r="D8">
        <v>6</v>
      </c>
      <c r="E8">
        <f>Tabla3[[#This Row],[Cantidad a comprar]]*Tabla3[[#This Row],[Costo unitario]]</f>
        <v>6</v>
      </c>
      <c r="F8" t="s">
        <v>122</v>
      </c>
    </row>
    <row r="9" spans="1:6" x14ac:dyDescent="0.25">
      <c r="A9" t="s">
        <v>49</v>
      </c>
      <c r="B9" s="21" t="s">
        <v>114</v>
      </c>
      <c r="C9">
        <v>5</v>
      </c>
      <c r="D9">
        <v>8</v>
      </c>
      <c r="E9">
        <f>Tabla3[[#This Row],[Cantidad a comprar]]*Tabla3[[#This Row],[Costo unitario]]</f>
        <v>40</v>
      </c>
      <c r="F9" t="s">
        <v>123</v>
      </c>
    </row>
    <row r="10" spans="1:6" x14ac:dyDescent="0.25">
      <c r="A10" t="s">
        <v>50</v>
      </c>
      <c r="B10" s="22" t="s">
        <v>112</v>
      </c>
      <c r="C10">
        <v>7</v>
      </c>
      <c r="D10">
        <v>4</v>
      </c>
      <c r="E10">
        <f>Tabla3[[#This Row],[Cantidad a comprar]]*Tabla3[[#This Row],[Costo unitario]]</f>
        <v>28</v>
      </c>
      <c r="F10" t="s">
        <v>124</v>
      </c>
    </row>
    <row r="11" spans="1:6" x14ac:dyDescent="0.25">
      <c r="A11" t="s">
        <v>51</v>
      </c>
      <c r="B11" s="24" t="s">
        <v>115</v>
      </c>
      <c r="C11">
        <v>6</v>
      </c>
      <c r="D11">
        <v>9</v>
      </c>
      <c r="E11">
        <f>Tabla3[[#This Row],[Cantidad a comprar]]*Tabla3[[#This Row],[Costo unitario]]</f>
        <v>54</v>
      </c>
      <c r="F11" t="s">
        <v>125</v>
      </c>
    </row>
  </sheetData>
  <hyperlinks>
    <hyperlink ref="F6" r:id="rId1" xr:uid="{00000000-0004-0000-0300-000000000000}"/>
    <hyperlink ref="F7" r:id="rId2" display="https://mexico.newark.com/?&amp;CMP=KNC-GMX-BRAND-ES-ONLY-CONTROL-S43&amp;mckv=su8AqcKVM_dc|pcrid|569194172836|plid||kword|newark%20supply|match|b|slid||product||pgrid|152734868369|ptaid|kwd-2873535176|&amp;gad_source=1&amp;gad_campaignid=20251415437&amp;gbraid=0AAAAAD5U_g3n55csvh7H8N9HVr6pkid6b&amp;gclid=CjwKCAjwtIfPBhAzEiwAv9RTJp7ET7bkYwxgzHFPmuTOUVSIPYkuyiIyGm5O-5dyD3YwWM1vtIe7eBoCQYoQAvD_BwE" xr:uid="{00000000-0004-0000-0300-000001000000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"/>
  <sheetViews>
    <sheetView topLeftCell="A7" workbookViewId="0">
      <selection activeCell="H21" sqref="H21"/>
    </sheetView>
  </sheetViews>
  <sheetFormatPr baseColWidth="10" defaultRowHeight="15" x14ac:dyDescent="0.25"/>
  <cols>
    <col min="2" max="2" width="12" bestFit="1" customWidth="1"/>
  </cols>
  <sheetData>
    <row r="1" spans="1:18" ht="41.25" customHeight="1" x14ac:dyDescent="0.25">
      <c r="A1" s="66" t="s">
        <v>52</v>
      </c>
      <c r="B1" s="67"/>
      <c r="C1" s="67"/>
      <c r="D1" s="67"/>
      <c r="G1" s="68" t="s">
        <v>53</v>
      </c>
      <c r="H1" s="68"/>
      <c r="I1" s="68"/>
    </row>
    <row r="2" spans="1:18" x14ac:dyDescent="0.25">
      <c r="A2">
        <v>5</v>
      </c>
      <c r="B2">
        <v>3</v>
      </c>
      <c r="C2">
        <f>A2*B2</f>
        <v>15</v>
      </c>
      <c r="G2" s="17">
        <v>5</v>
      </c>
      <c r="H2" s="17">
        <v>3</v>
      </c>
      <c r="I2" s="16">
        <f>G2*H2</f>
        <v>15</v>
      </c>
    </row>
    <row r="3" spans="1:18" x14ac:dyDescent="0.25">
      <c r="A3">
        <v>3</v>
      </c>
      <c r="B3">
        <v>4</v>
      </c>
      <c r="C3">
        <f t="shared" ref="C3:C9" si="0">A3*B3</f>
        <v>12</v>
      </c>
      <c r="G3" s="17">
        <v>3</v>
      </c>
      <c r="H3" s="17">
        <v>4</v>
      </c>
      <c r="I3" s="16">
        <f t="shared" ref="I3:I15" si="1">G3*H3</f>
        <v>12</v>
      </c>
    </row>
    <row r="4" spans="1:18" x14ac:dyDescent="0.25">
      <c r="A4">
        <v>45</v>
      </c>
      <c r="B4">
        <v>9</v>
      </c>
      <c r="C4">
        <f t="shared" si="0"/>
        <v>405</v>
      </c>
      <c r="G4" s="17">
        <v>45</v>
      </c>
      <c r="H4" s="17">
        <v>9</v>
      </c>
      <c r="I4" s="16">
        <f t="shared" si="1"/>
        <v>405</v>
      </c>
    </row>
    <row r="5" spans="1:18" x14ac:dyDescent="0.25">
      <c r="A5">
        <v>14</v>
      </c>
      <c r="B5">
        <v>6</v>
      </c>
      <c r="C5">
        <f t="shared" si="0"/>
        <v>84</v>
      </c>
      <c r="G5" s="17">
        <v>14</v>
      </c>
      <c r="H5" s="17">
        <v>6</v>
      </c>
      <c r="I5" s="16">
        <f t="shared" si="1"/>
        <v>84</v>
      </c>
      <c r="P5" t="s">
        <v>54</v>
      </c>
      <c r="Q5" t="s">
        <v>55</v>
      </c>
      <c r="R5" t="s">
        <v>56</v>
      </c>
    </row>
    <row r="6" spans="1:18" x14ac:dyDescent="0.25">
      <c r="A6">
        <v>57</v>
      </c>
      <c r="B6">
        <v>37</v>
      </c>
      <c r="C6">
        <f t="shared" si="0"/>
        <v>2109</v>
      </c>
      <c r="G6" s="17">
        <v>57</v>
      </c>
      <c r="H6" s="17">
        <v>37</v>
      </c>
      <c r="I6" s="16">
        <f t="shared" si="1"/>
        <v>2109</v>
      </c>
      <c r="O6" t="str">
        <f>DEC2BIN(K10)</f>
        <v>1</v>
      </c>
      <c r="P6">
        <v>24</v>
      </c>
      <c r="Q6" t="str">
        <f>DEC2BIN(P6)</f>
        <v>11000</v>
      </c>
      <c r="R6">
        <f>HEX2DEC(P6)</f>
        <v>36</v>
      </c>
    </row>
    <row r="7" spans="1:18" x14ac:dyDescent="0.25">
      <c r="A7">
        <v>6</v>
      </c>
      <c r="B7">
        <v>48</v>
      </c>
      <c r="C7">
        <f t="shared" si="0"/>
        <v>288</v>
      </c>
      <c r="G7" s="17">
        <v>6</v>
      </c>
      <c r="H7" s="17">
        <v>48</v>
      </c>
      <c r="I7" s="16">
        <f t="shared" si="1"/>
        <v>288</v>
      </c>
      <c r="O7" t="str">
        <f t="shared" ref="O7:O8" si="2">DEC2BIN(K11)</f>
        <v>0</v>
      </c>
      <c r="P7">
        <v>14</v>
      </c>
      <c r="Q7" t="str">
        <f t="shared" ref="Q7:Q9" si="3">DEC2BIN(P7)</f>
        <v>1110</v>
      </c>
      <c r="R7">
        <f t="shared" ref="R7:R9" si="4">HEX2DEC(P7)</f>
        <v>20</v>
      </c>
    </row>
    <row r="8" spans="1:18" x14ac:dyDescent="0.25">
      <c r="A8">
        <v>3</v>
      </c>
      <c r="B8">
        <v>4</v>
      </c>
      <c r="C8">
        <f t="shared" si="0"/>
        <v>12</v>
      </c>
      <c r="G8" s="17">
        <v>56</v>
      </c>
      <c r="H8" s="17">
        <v>25</v>
      </c>
      <c r="I8" s="16">
        <f t="shared" si="1"/>
        <v>1400</v>
      </c>
      <c r="O8" t="str">
        <f t="shared" si="2"/>
        <v>0</v>
      </c>
      <c r="P8">
        <v>23</v>
      </c>
      <c r="Q8" t="str">
        <f t="shared" si="3"/>
        <v>10111</v>
      </c>
      <c r="R8">
        <f t="shared" si="4"/>
        <v>35</v>
      </c>
    </row>
    <row r="9" spans="1:18" x14ac:dyDescent="0.25">
      <c r="A9">
        <v>4</v>
      </c>
      <c r="B9">
        <v>1</v>
      </c>
      <c r="C9">
        <f t="shared" si="0"/>
        <v>4</v>
      </c>
      <c r="G9" s="17">
        <v>42</v>
      </c>
      <c r="H9" s="17">
        <v>14</v>
      </c>
      <c r="I9" s="16">
        <f t="shared" si="1"/>
        <v>588</v>
      </c>
      <c r="P9">
        <v>2</v>
      </c>
      <c r="Q9" t="str">
        <f t="shared" si="3"/>
        <v>10</v>
      </c>
      <c r="R9">
        <f t="shared" si="4"/>
        <v>2</v>
      </c>
    </row>
    <row r="10" spans="1:18" x14ac:dyDescent="0.25">
      <c r="G10" s="17">
        <v>78</v>
      </c>
      <c r="H10" s="17">
        <v>25</v>
      </c>
      <c r="I10" s="16">
        <f t="shared" si="1"/>
        <v>1950</v>
      </c>
      <c r="K10">
        <v>1</v>
      </c>
      <c r="L10">
        <v>16</v>
      </c>
      <c r="M10">
        <v>8</v>
      </c>
      <c r="N10">
        <v>4</v>
      </c>
      <c r="O10">
        <v>2</v>
      </c>
      <c r="P10">
        <v>1</v>
      </c>
    </row>
    <row r="11" spans="1:18" x14ac:dyDescent="0.25">
      <c r="G11" s="17">
        <v>465</v>
      </c>
      <c r="H11" s="17">
        <v>147</v>
      </c>
      <c r="I11" s="16">
        <f t="shared" si="1"/>
        <v>68355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</row>
    <row r="12" spans="1:18" x14ac:dyDescent="0.25">
      <c r="G12" s="17">
        <v>1236</v>
      </c>
      <c r="H12" s="17">
        <v>36</v>
      </c>
      <c r="I12" s="16">
        <f t="shared" si="1"/>
        <v>44496</v>
      </c>
    </row>
    <row r="13" spans="1:18" x14ac:dyDescent="0.25">
      <c r="G13" s="17">
        <v>897</v>
      </c>
      <c r="H13" s="17">
        <v>65</v>
      </c>
      <c r="I13" s="16">
        <f t="shared" si="1"/>
        <v>58305</v>
      </c>
    </row>
    <row r="14" spans="1:18" x14ac:dyDescent="0.25">
      <c r="G14" s="17">
        <v>658</v>
      </c>
      <c r="H14" s="17">
        <v>14</v>
      </c>
      <c r="I14" s="16">
        <f t="shared" si="1"/>
        <v>9212</v>
      </c>
    </row>
    <row r="15" spans="1:18" x14ac:dyDescent="0.25">
      <c r="A15" t="s">
        <v>57</v>
      </c>
      <c r="B15" t="s">
        <v>58</v>
      </c>
      <c r="G15" s="17">
        <v>364</v>
      </c>
      <c r="H15" s="17">
        <v>18</v>
      </c>
      <c r="I15" s="16">
        <f t="shared" si="1"/>
        <v>6552</v>
      </c>
    </row>
    <row r="16" spans="1:18" x14ac:dyDescent="0.25">
      <c r="A16" t="s">
        <v>59</v>
      </c>
      <c r="B16">
        <v>100</v>
      </c>
    </row>
    <row r="17" spans="1:17" x14ac:dyDescent="0.25">
      <c r="A17" t="s">
        <v>60</v>
      </c>
      <c r="B17">
        <v>256</v>
      </c>
      <c r="C17">
        <v>3</v>
      </c>
      <c r="O17">
        <v>3</v>
      </c>
      <c r="P17">
        <v>3</v>
      </c>
      <c r="Q17">
        <f>DELTA(O17,P17)</f>
        <v>1</v>
      </c>
    </row>
    <row r="18" spans="1:17" x14ac:dyDescent="0.25">
      <c r="A18" t="s">
        <v>1</v>
      </c>
      <c r="B18">
        <v>1247</v>
      </c>
      <c r="O18">
        <v>3</v>
      </c>
      <c r="P18">
        <v>8</v>
      </c>
      <c r="Q18">
        <f t="shared" ref="Q18:Q20" si="5">DELTA(O18,P18)</f>
        <v>0</v>
      </c>
    </row>
    <row r="19" spans="1:17" x14ac:dyDescent="0.25">
      <c r="A19" t="s">
        <v>3</v>
      </c>
      <c r="B19">
        <v>124</v>
      </c>
      <c r="G19" t="s">
        <v>63</v>
      </c>
      <c r="H19" t="s">
        <v>64</v>
      </c>
      <c r="I19" t="s">
        <v>65</v>
      </c>
      <c r="O19">
        <v>4</v>
      </c>
      <c r="P19">
        <v>6</v>
      </c>
      <c r="Q19">
        <f t="shared" si="5"/>
        <v>0</v>
      </c>
    </row>
    <row r="20" spans="1:17" x14ac:dyDescent="0.25">
      <c r="A20" t="s">
        <v>61</v>
      </c>
      <c r="B20">
        <v>13000</v>
      </c>
      <c r="C20" t="s">
        <v>28</v>
      </c>
      <c r="G20">
        <v>2</v>
      </c>
      <c r="H20">
        <v>3</v>
      </c>
      <c r="I20" t="str">
        <f>IF(G20=H20,"son correctos","son incorrectos")</f>
        <v>son incorrectos</v>
      </c>
      <c r="O20">
        <v>5</v>
      </c>
      <c r="P20">
        <v>5</v>
      </c>
      <c r="Q20">
        <f t="shared" si="5"/>
        <v>1</v>
      </c>
    </row>
    <row r="21" spans="1:17" x14ac:dyDescent="0.25">
      <c r="A21" t="s">
        <v>62</v>
      </c>
      <c r="B21">
        <f>B16+B17+B18+B19+B20</f>
        <v>14727</v>
      </c>
      <c r="C21">
        <v>12500</v>
      </c>
    </row>
    <row r="22" spans="1:17" x14ac:dyDescent="0.25">
      <c r="B22" t="str">
        <f>IF(B21&gt;C21,"superaste presupeusto","estas dentro de el prersupuesto")</f>
        <v>superaste presupeusto</v>
      </c>
    </row>
  </sheetData>
  <mergeCells count="2">
    <mergeCell ref="A1:D1"/>
    <mergeCell ref="G1:I1"/>
  </mergeCells>
  <conditionalFormatting sqref="I2:I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topLeftCell="A7" zoomScale="89" zoomScaleNormal="89" workbookViewId="0">
      <selection activeCell="C17" sqref="C17"/>
    </sheetView>
  </sheetViews>
  <sheetFormatPr baseColWidth="10" defaultRowHeight="15" x14ac:dyDescent="0.25"/>
  <sheetData>
    <row r="1" spans="1:5" x14ac:dyDescent="0.25">
      <c r="A1" t="s">
        <v>66</v>
      </c>
      <c r="B1" t="s">
        <v>67</v>
      </c>
      <c r="C1" t="s">
        <v>69</v>
      </c>
    </row>
    <row r="2" spans="1:5" x14ac:dyDescent="0.25">
      <c r="A2">
        <v>-5</v>
      </c>
      <c r="B2">
        <f>3*A2-2</f>
        <v>-17</v>
      </c>
      <c r="C2">
        <f>A2^2+1</f>
        <v>26</v>
      </c>
      <c r="E2" t="s">
        <v>68</v>
      </c>
    </row>
    <row r="3" spans="1:5" x14ac:dyDescent="0.25">
      <c r="A3">
        <v>-4</v>
      </c>
      <c r="B3">
        <f t="shared" ref="B3:B12" si="0">3*A3-2</f>
        <v>-14</v>
      </c>
      <c r="C3">
        <f t="shared" ref="C3:C12" si="1">A3^2+1</f>
        <v>17</v>
      </c>
      <c r="E3" t="s">
        <v>70</v>
      </c>
    </row>
    <row r="4" spans="1:5" x14ac:dyDescent="0.25">
      <c r="A4">
        <v>-3</v>
      </c>
      <c r="B4">
        <f t="shared" si="0"/>
        <v>-11</v>
      </c>
      <c r="C4">
        <f t="shared" si="1"/>
        <v>10</v>
      </c>
    </row>
    <row r="5" spans="1:5" x14ac:dyDescent="0.25">
      <c r="A5">
        <v>-2</v>
      </c>
      <c r="B5">
        <f t="shared" si="0"/>
        <v>-8</v>
      </c>
      <c r="C5">
        <f t="shared" si="1"/>
        <v>5</v>
      </c>
    </row>
    <row r="6" spans="1:5" x14ac:dyDescent="0.25">
      <c r="A6">
        <v>-1</v>
      </c>
      <c r="B6">
        <f t="shared" si="0"/>
        <v>-5</v>
      </c>
      <c r="C6">
        <f t="shared" si="1"/>
        <v>2</v>
      </c>
    </row>
    <row r="7" spans="1:5" x14ac:dyDescent="0.25">
      <c r="A7">
        <v>0</v>
      </c>
      <c r="B7">
        <f t="shared" si="0"/>
        <v>-2</v>
      </c>
      <c r="C7">
        <f t="shared" si="1"/>
        <v>1</v>
      </c>
    </row>
    <row r="8" spans="1:5" x14ac:dyDescent="0.25">
      <c r="A8">
        <v>1</v>
      </c>
      <c r="B8">
        <f t="shared" si="0"/>
        <v>1</v>
      </c>
      <c r="C8">
        <f t="shared" si="1"/>
        <v>2</v>
      </c>
    </row>
    <row r="9" spans="1:5" x14ac:dyDescent="0.25">
      <c r="A9">
        <v>2</v>
      </c>
      <c r="B9">
        <f t="shared" si="0"/>
        <v>4</v>
      </c>
      <c r="C9">
        <f t="shared" si="1"/>
        <v>5</v>
      </c>
    </row>
    <row r="10" spans="1:5" x14ac:dyDescent="0.25">
      <c r="A10">
        <v>3</v>
      </c>
      <c r="B10">
        <f t="shared" si="0"/>
        <v>7</v>
      </c>
      <c r="C10">
        <f t="shared" si="1"/>
        <v>10</v>
      </c>
    </row>
    <row r="11" spans="1:5" x14ac:dyDescent="0.25">
      <c r="A11">
        <v>4</v>
      </c>
      <c r="B11">
        <f t="shared" si="0"/>
        <v>10</v>
      </c>
      <c r="C11">
        <f t="shared" si="1"/>
        <v>17</v>
      </c>
    </row>
    <row r="12" spans="1:5" x14ac:dyDescent="0.25">
      <c r="A12">
        <v>5</v>
      </c>
      <c r="B12">
        <f t="shared" si="0"/>
        <v>13</v>
      </c>
      <c r="C12">
        <f t="shared" si="1"/>
        <v>26</v>
      </c>
    </row>
    <row r="16" spans="1:5" x14ac:dyDescent="0.25">
      <c r="A16" t="s">
        <v>71</v>
      </c>
      <c r="B16" t="s">
        <v>77</v>
      </c>
      <c r="C16" t="s">
        <v>72</v>
      </c>
    </row>
    <row r="17" spans="1:3" x14ac:dyDescent="0.25">
      <c r="A17" t="s">
        <v>73</v>
      </c>
      <c r="B17">
        <v>12</v>
      </c>
      <c r="C17">
        <f>B17*100/SUM(B17:B20)</f>
        <v>5.5299539170506913</v>
      </c>
    </row>
    <row r="18" spans="1:3" x14ac:dyDescent="0.25">
      <c r="A18" t="s">
        <v>74</v>
      </c>
      <c r="B18">
        <v>63</v>
      </c>
      <c r="C18">
        <f t="shared" ref="C18:C20" si="2">B18*100/SUM(B18:B21)</f>
        <v>30.73170731707317</v>
      </c>
    </row>
    <row r="19" spans="1:3" x14ac:dyDescent="0.25">
      <c r="A19" t="s">
        <v>75</v>
      </c>
      <c r="B19">
        <v>45</v>
      </c>
      <c r="C19">
        <f t="shared" si="2"/>
        <v>31.690140845070424</v>
      </c>
    </row>
    <row r="20" spans="1:3" x14ac:dyDescent="0.25">
      <c r="A20" t="s">
        <v>76</v>
      </c>
      <c r="B20">
        <v>97</v>
      </c>
      <c r="C20">
        <f t="shared" si="2"/>
        <v>100</v>
      </c>
    </row>
    <row r="21" spans="1:3" x14ac:dyDescent="0.25">
      <c r="C21">
        <f>SUM(C17:C20)</f>
        <v>167.95180207919429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7"/>
  <sheetViews>
    <sheetView zoomScaleNormal="100" workbookViewId="0"/>
  </sheetViews>
  <sheetFormatPr baseColWidth="10" defaultRowHeight="15" x14ac:dyDescent="0.25"/>
  <cols>
    <col min="1" max="1" width="14" bestFit="1" customWidth="1"/>
  </cols>
  <sheetData>
    <row r="1" spans="1:3" x14ac:dyDescent="0.25">
      <c r="A1" t="s">
        <v>78</v>
      </c>
      <c r="B1" t="s">
        <v>79</v>
      </c>
      <c r="C1" t="s">
        <v>81</v>
      </c>
    </row>
    <row r="2" spans="1:3" x14ac:dyDescent="0.25">
      <c r="A2">
        <v>17</v>
      </c>
      <c r="B2">
        <v>6</v>
      </c>
      <c r="C2" s="18">
        <f>B2*100/35</f>
        <v>17.142857142857142</v>
      </c>
    </row>
    <row r="3" spans="1:3" x14ac:dyDescent="0.25">
      <c r="A3">
        <v>18</v>
      </c>
      <c r="B3">
        <v>17</v>
      </c>
      <c r="C3" s="18">
        <f t="shared" ref="C3:C6" si="0">B3*100/35</f>
        <v>48.571428571428569</v>
      </c>
    </row>
    <row r="4" spans="1:3" x14ac:dyDescent="0.25">
      <c r="A4">
        <v>19</v>
      </c>
      <c r="B4">
        <v>8</v>
      </c>
      <c r="C4" s="18">
        <f t="shared" si="0"/>
        <v>22.857142857142858</v>
      </c>
    </row>
    <row r="5" spans="1:3" x14ac:dyDescent="0.25">
      <c r="A5">
        <v>20</v>
      </c>
      <c r="B5">
        <v>3</v>
      </c>
      <c r="C5" s="18">
        <f t="shared" si="0"/>
        <v>8.5714285714285712</v>
      </c>
    </row>
    <row r="6" spans="1:3" x14ac:dyDescent="0.25">
      <c r="A6">
        <v>21</v>
      </c>
      <c r="B6">
        <v>1</v>
      </c>
      <c r="C6" s="18">
        <f t="shared" si="0"/>
        <v>2.8571428571428572</v>
      </c>
    </row>
    <row r="7" spans="1:3" x14ac:dyDescent="0.25">
      <c r="A7" t="s">
        <v>80</v>
      </c>
      <c r="B7">
        <f>SUM(B2:B6)</f>
        <v>35</v>
      </c>
      <c r="C7">
        <f>SUM(C2:C6)</f>
        <v>100</v>
      </c>
    </row>
    <row r="17" spans="17:17" x14ac:dyDescent="0.25">
      <c r="Q17" t="s">
        <v>82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6"/>
  <sheetViews>
    <sheetView topLeftCell="A61" zoomScale="57" zoomScaleNormal="57" workbookViewId="0">
      <selection activeCell="N71" sqref="N71"/>
    </sheetView>
  </sheetViews>
  <sheetFormatPr baseColWidth="10" defaultRowHeight="15" x14ac:dyDescent="0.25"/>
  <cols>
    <col min="2" max="2" width="21.85546875" bestFit="1" customWidth="1"/>
    <col min="5" max="5" width="19.140625" bestFit="1" customWidth="1"/>
    <col min="8" max="8" width="14.5703125" bestFit="1" customWidth="1"/>
    <col min="11" max="11" width="19.140625" bestFit="1" customWidth="1"/>
    <col min="14" max="14" width="14.5703125" bestFit="1" customWidth="1"/>
    <col min="17" max="17" width="19.140625" bestFit="1" customWidth="1"/>
    <col min="20" max="20" width="14.5703125" bestFit="1" customWidth="1"/>
    <col min="23" max="23" width="19.140625" bestFit="1" customWidth="1"/>
    <col min="26" max="26" width="14.5703125" bestFit="1" customWidth="1"/>
    <col min="29" max="29" width="13.140625" bestFit="1" customWidth="1"/>
    <col min="32" max="32" width="14.5703125" bestFit="1" customWidth="1"/>
  </cols>
  <sheetData>
    <row r="1" spans="1:32" ht="15.75" x14ac:dyDescent="0.25">
      <c r="A1" s="28" t="s">
        <v>198</v>
      </c>
      <c r="B1" s="28" t="s">
        <v>199</v>
      </c>
      <c r="D1" s="29" t="s">
        <v>198</v>
      </c>
      <c r="E1" s="29" t="s">
        <v>200</v>
      </c>
      <c r="G1" s="39" t="s">
        <v>201</v>
      </c>
      <c r="H1" s="39" t="s">
        <v>202</v>
      </c>
      <c r="J1" s="30" t="s">
        <v>198</v>
      </c>
      <c r="K1" s="30" t="s">
        <v>200</v>
      </c>
      <c r="M1" s="39" t="s">
        <v>201</v>
      </c>
      <c r="N1" s="39" t="s">
        <v>202</v>
      </c>
      <c r="P1" s="31" t="s">
        <v>198</v>
      </c>
      <c r="Q1" s="31" t="s">
        <v>200</v>
      </c>
      <c r="S1" s="39" t="s">
        <v>201</v>
      </c>
      <c r="T1" s="39" t="s">
        <v>202</v>
      </c>
      <c r="V1" s="32" t="s">
        <v>198</v>
      </c>
      <c r="W1" s="32" t="s">
        <v>200</v>
      </c>
      <c r="Y1" s="39" t="s">
        <v>201</v>
      </c>
      <c r="Z1" s="39" t="s">
        <v>202</v>
      </c>
      <c r="AB1" s="33" t="s">
        <v>198</v>
      </c>
      <c r="AC1" s="33" t="s">
        <v>200</v>
      </c>
      <c r="AE1" s="39" t="s">
        <v>201</v>
      </c>
      <c r="AF1" s="39" t="s">
        <v>202</v>
      </c>
    </row>
    <row r="2" spans="1:32" x14ac:dyDescent="0.25">
      <c r="A2" s="40">
        <v>0</v>
      </c>
      <c r="B2" s="41">
        <v>0.02</v>
      </c>
      <c r="D2" s="40">
        <v>0</v>
      </c>
      <c r="E2" s="40">
        <v>0</v>
      </c>
      <c r="G2" s="34">
        <v>5</v>
      </c>
      <c r="H2" s="34">
        <v>1</v>
      </c>
      <c r="J2" s="40">
        <v>0</v>
      </c>
      <c r="K2" s="40">
        <v>0</v>
      </c>
      <c r="M2" s="35">
        <v>5</v>
      </c>
      <c r="N2" s="35">
        <v>5</v>
      </c>
      <c r="P2" s="40">
        <v>0</v>
      </c>
      <c r="Q2" s="40">
        <v>0</v>
      </c>
      <c r="S2" s="36">
        <v>5</v>
      </c>
      <c r="T2" s="36">
        <v>10</v>
      </c>
      <c r="V2" s="40">
        <v>0</v>
      </c>
      <c r="W2" s="40">
        <v>0</v>
      </c>
      <c r="Y2" s="37">
        <v>5</v>
      </c>
      <c r="Z2" s="37">
        <v>15</v>
      </c>
      <c r="AB2" s="40">
        <v>0</v>
      </c>
      <c r="AC2" s="40">
        <v>0</v>
      </c>
      <c r="AE2" s="38">
        <v>5</v>
      </c>
      <c r="AF2" s="38">
        <v>20</v>
      </c>
    </row>
    <row r="3" spans="1:32" x14ac:dyDescent="0.25">
      <c r="A3" s="41">
        <v>0.05</v>
      </c>
      <c r="B3" s="41">
        <v>0.22</v>
      </c>
      <c r="D3" s="41">
        <v>0.05</v>
      </c>
      <c r="E3" s="42">
        <v>0.24385287749642992</v>
      </c>
      <c r="J3" s="41">
        <v>0.05</v>
      </c>
      <c r="K3" s="42">
        <v>4.9750831254159467E-2</v>
      </c>
      <c r="P3" s="41">
        <v>0.05</v>
      </c>
      <c r="Q3" s="42">
        <v>2.4937604036588401E-2</v>
      </c>
      <c r="V3" s="41">
        <v>0.05</v>
      </c>
      <c r="W3" s="42">
        <v>1.6638919727383628E-2</v>
      </c>
      <c r="AB3" s="41">
        <v>0.05</v>
      </c>
      <c r="AC3" s="42">
        <v>1.2484388012699577E-2</v>
      </c>
    </row>
    <row r="4" spans="1:32" x14ac:dyDescent="0.25">
      <c r="A4" s="41">
        <v>0.1</v>
      </c>
      <c r="B4" s="41">
        <v>0.45</v>
      </c>
      <c r="D4" s="41">
        <v>0.1</v>
      </c>
      <c r="E4" s="42">
        <v>0.47581290982020241</v>
      </c>
      <c r="J4" s="41">
        <v>0.1</v>
      </c>
      <c r="K4" s="42">
        <v>9.9006633466223737E-2</v>
      </c>
      <c r="P4" s="41">
        <v>0.1</v>
      </c>
      <c r="Q4" s="42">
        <v>4.9750831254159467E-2</v>
      </c>
      <c r="V4" s="41">
        <v>0.1</v>
      </c>
      <c r="W4" s="42">
        <v>3.3222468724827814E-2</v>
      </c>
      <c r="AB4" s="41">
        <v>0.1</v>
      </c>
      <c r="AC4" s="42">
        <v>2.4937604036588401E-2</v>
      </c>
    </row>
    <row r="5" spans="1:32" x14ac:dyDescent="0.25">
      <c r="A5" s="41">
        <v>0.15</v>
      </c>
      <c r="B5" s="41">
        <v>0.63</v>
      </c>
      <c r="D5" s="41">
        <v>0.15</v>
      </c>
      <c r="E5" s="42">
        <v>0.69646011787471096</v>
      </c>
      <c r="J5" s="41">
        <v>0.15</v>
      </c>
      <c r="K5" s="42">
        <v>0.14777233225745923</v>
      </c>
      <c r="P5" s="41">
        <v>0.15</v>
      </c>
      <c r="Q5" s="42">
        <v>7.4440301984686763E-2</v>
      </c>
      <c r="V5" s="41">
        <v>0.15</v>
      </c>
      <c r="W5" s="42">
        <v>4.9750831254159467E-2</v>
      </c>
      <c r="AB5" s="41">
        <v>0.15</v>
      </c>
      <c r="AC5" s="42">
        <v>3.7359725904307917E-2</v>
      </c>
    </row>
    <row r="6" spans="1:32" x14ac:dyDescent="0.25">
      <c r="A6" s="41">
        <v>0.2</v>
      </c>
      <c r="B6" s="41">
        <v>0.78</v>
      </c>
      <c r="D6" s="41">
        <v>0.2</v>
      </c>
      <c r="E6" s="42">
        <v>0.9063462346100909</v>
      </c>
      <c r="J6" s="41">
        <v>0.2</v>
      </c>
      <c r="K6" s="42">
        <v>0.19605280423838412</v>
      </c>
      <c r="P6" s="41">
        <v>0.2</v>
      </c>
      <c r="Q6" s="42">
        <v>9.9006633466223737E-2</v>
      </c>
      <c r="V6" s="41">
        <v>0.2</v>
      </c>
      <c r="W6" s="42">
        <v>6.6224190964021545E-2</v>
      </c>
      <c r="AB6" s="41">
        <v>0.2</v>
      </c>
      <c r="AC6" s="42">
        <v>4.9750831254159467E-2</v>
      </c>
    </row>
    <row r="7" spans="1:32" x14ac:dyDescent="0.25">
      <c r="A7" s="41">
        <v>0.25</v>
      </c>
      <c r="B7" s="41">
        <v>0.92</v>
      </c>
      <c r="D7" s="41">
        <v>0.25</v>
      </c>
      <c r="E7" s="42">
        <v>1.1059960846429755</v>
      </c>
      <c r="J7" s="41">
        <v>0.25</v>
      </c>
      <c r="K7" s="42">
        <v>0.24385287749642992</v>
      </c>
      <c r="P7" s="41">
        <v>0.25</v>
      </c>
      <c r="Q7" s="42">
        <v>0.12345043985833692</v>
      </c>
      <c r="V7" s="41">
        <v>0.25</v>
      </c>
      <c r="W7" s="42">
        <v>8.2642730891912541E-2</v>
      </c>
      <c r="AB7" s="41">
        <v>0.25</v>
      </c>
      <c r="AC7" s="42">
        <v>6.2110997530592793E-2</v>
      </c>
    </row>
    <row r="8" spans="1:32" x14ac:dyDescent="0.25">
      <c r="A8" s="41">
        <v>0.3</v>
      </c>
      <c r="B8" s="41">
        <v>1.05</v>
      </c>
      <c r="D8" s="41">
        <v>0.3</v>
      </c>
      <c r="E8" s="42">
        <v>1.2959088965914107</v>
      </c>
      <c r="J8" s="41">
        <v>0.3</v>
      </c>
      <c r="K8" s="42">
        <v>0.2911773320787564</v>
      </c>
      <c r="P8" s="41">
        <v>0.3</v>
      </c>
      <c r="Q8" s="42">
        <v>0.14777233225745923</v>
      </c>
      <c r="V8" s="41">
        <v>0.3</v>
      </c>
      <c r="W8" s="42">
        <v>9.9006633466223737E-2</v>
      </c>
      <c r="AB8" s="41">
        <v>0.3</v>
      </c>
      <c r="AC8" s="42">
        <v>7.4440301984686763E-2</v>
      </c>
    </row>
    <row r="9" spans="1:32" x14ac:dyDescent="0.25">
      <c r="A9" s="41">
        <v>0.35</v>
      </c>
      <c r="B9" s="41">
        <v>1.18</v>
      </c>
      <c r="D9" s="41">
        <v>0.35</v>
      </c>
      <c r="E9" s="42">
        <v>1.4765595514064329</v>
      </c>
      <c r="J9" s="41">
        <v>0.35</v>
      </c>
      <c r="K9" s="42">
        <v>0.33803090047025863</v>
      </c>
      <c r="P9" s="41">
        <v>0.35</v>
      </c>
      <c r="Q9" s="42">
        <v>0.17197291871216769</v>
      </c>
      <c r="V9" s="41">
        <v>0.35</v>
      </c>
      <c r="W9" s="42">
        <v>0.11531608050826203</v>
      </c>
      <c r="AB9" s="41">
        <v>0.35</v>
      </c>
      <c r="AC9" s="42">
        <v>8.6738821674633981E-2</v>
      </c>
    </row>
    <row r="10" spans="1:32" x14ac:dyDescent="0.25">
      <c r="A10" s="41">
        <v>0.4</v>
      </c>
      <c r="B10" s="41">
        <v>1.25</v>
      </c>
      <c r="D10" s="41">
        <v>0.4</v>
      </c>
      <c r="E10" s="42">
        <v>1.6483997698218034</v>
      </c>
      <c r="J10" s="41">
        <v>0.4</v>
      </c>
      <c r="K10" s="42">
        <v>0.38441826806682122</v>
      </c>
      <c r="P10" s="41">
        <v>0.4</v>
      </c>
      <c r="Q10" s="42">
        <v>0.19605280423838412</v>
      </c>
      <c r="V10" s="41">
        <v>0.4</v>
      </c>
      <c r="W10" s="42">
        <v>0.13157125323427499</v>
      </c>
      <c r="AB10" s="41">
        <v>0.4</v>
      </c>
      <c r="AC10" s="42">
        <v>9.9006633466223737E-2</v>
      </c>
    </row>
    <row r="11" spans="1:32" x14ac:dyDescent="0.25">
      <c r="A11" s="41">
        <v>0.45</v>
      </c>
      <c r="B11" s="41">
        <v>1.38</v>
      </c>
      <c r="D11" s="41">
        <v>0.45</v>
      </c>
      <c r="E11" s="42">
        <v>1.8118592418911335</v>
      </c>
      <c r="J11" s="41">
        <v>0.45</v>
      </c>
      <c r="K11" s="42">
        <v>0.43034407364385907</v>
      </c>
      <c r="P11" s="41">
        <v>0.45</v>
      </c>
      <c r="Q11" s="42">
        <v>0.2200125908345002</v>
      </c>
      <c r="V11" s="41">
        <v>0.45</v>
      </c>
      <c r="W11" s="42">
        <v>0.14777233225745923</v>
      </c>
      <c r="AB11" s="41">
        <v>0.45</v>
      </c>
      <c r="AC11" s="42">
        <v>0.11124381403331829</v>
      </c>
    </row>
    <row r="12" spans="1:32" x14ac:dyDescent="0.25">
      <c r="A12" s="41">
        <v>0.5</v>
      </c>
      <c r="B12" s="41">
        <v>1.55</v>
      </c>
      <c r="D12" s="41">
        <v>0.5</v>
      </c>
      <c r="E12" s="42">
        <v>1.9673467014368329</v>
      </c>
      <c r="J12" s="41">
        <v>0.5</v>
      </c>
      <c r="K12" s="42">
        <v>0.47581290982020241</v>
      </c>
      <c r="P12" s="41">
        <v>0.5</v>
      </c>
      <c r="Q12" s="42">
        <v>0.24385287749642992</v>
      </c>
      <c r="V12" s="41">
        <v>0.5</v>
      </c>
      <c r="W12" s="42">
        <v>0.16391949758997049</v>
      </c>
      <c r="AB12" s="41">
        <v>0.5</v>
      </c>
      <c r="AC12" s="42">
        <v>0.12345043985833692</v>
      </c>
    </row>
    <row r="13" spans="1:32" x14ac:dyDescent="0.25">
      <c r="A13" s="41">
        <v>0.55000000000000004</v>
      </c>
      <c r="B13" s="41">
        <v>1.62</v>
      </c>
      <c r="D13" s="41">
        <v>0.55000000000000004</v>
      </c>
      <c r="E13" s="42">
        <v>2.1152509480975668</v>
      </c>
      <c r="J13" s="41">
        <v>0.55000000000000004</v>
      </c>
      <c r="K13" s="42">
        <v>0.52082932351735889</v>
      </c>
      <c r="P13" s="41">
        <v>0.55000000000000004</v>
      </c>
      <c r="Q13" s="42">
        <v>0.26757426023258091</v>
      </c>
      <c r="V13" s="41">
        <v>0.55000000000000004</v>
      </c>
      <c r="W13" s="42">
        <v>0.18001292864492313</v>
      </c>
      <c r="AB13" s="41">
        <v>0.55000000000000004</v>
      </c>
      <c r="AC13" s="42">
        <v>0.13562658723273002</v>
      </c>
    </row>
    <row r="14" spans="1:32" x14ac:dyDescent="0.25">
      <c r="A14" s="41">
        <v>0.6</v>
      </c>
      <c r="B14" s="41">
        <v>1.8</v>
      </c>
      <c r="D14" s="41">
        <v>0.6</v>
      </c>
      <c r="E14" s="42">
        <v>2.2559418195298679</v>
      </c>
      <c r="J14" s="41">
        <v>0.6</v>
      </c>
      <c r="K14" s="42">
        <v>0.56539781641421261</v>
      </c>
      <c r="P14" s="41">
        <v>0.6</v>
      </c>
      <c r="Q14" s="42">
        <v>0.2911773320787564</v>
      </c>
      <c r="V14" s="41">
        <v>0.6</v>
      </c>
      <c r="W14" s="42">
        <v>0.19605280423838412</v>
      </c>
      <c r="AB14" s="41">
        <v>0.6</v>
      </c>
      <c r="AC14" s="42">
        <v>0.14777233225745923</v>
      </c>
    </row>
    <row r="15" spans="1:32" x14ac:dyDescent="0.25">
      <c r="A15" s="41">
        <v>0.65</v>
      </c>
      <c r="B15" s="41">
        <v>1.88</v>
      </c>
      <c r="D15" s="41">
        <v>0.65</v>
      </c>
      <c r="E15" s="42">
        <v>2.38977111619492</v>
      </c>
      <c r="J15" s="41">
        <v>0.65</v>
      </c>
      <c r="K15" s="42">
        <v>0.60952284539719348</v>
      </c>
      <c r="P15" s="41">
        <v>0.65</v>
      </c>
      <c r="Q15" s="42">
        <v>0.31466268311298284</v>
      </c>
      <c r="V15" s="41">
        <v>0.65</v>
      </c>
      <c r="W15" s="42">
        <v>0.21203930259135695</v>
      </c>
      <c r="AB15" s="41">
        <v>0.65</v>
      </c>
      <c r="AC15" s="42">
        <v>0.15988775084346984</v>
      </c>
    </row>
    <row r="16" spans="1:32" x14ac:dyDescent="0.25">
      <c r="A16" s="41">
        <v>0.7</v>
      </c>
      <c r="B16" s="41">
        <v>2.0099999999999998</v>
      </c>
      <c r="D16" s="41">
        <v>0.7</v>
      </c>
      <c r="E16" s="42">
        <v>2.5170734810429525</v>
      </c>
      <c r="J16" s="41">
        <v>0.7</v>
      </c>
      <c r="K16" s="42">
        <v>0.65320882300597072</v>
      </c>
      <c r="P16" s="41">
        <v>0.7</v>
      </c>
      <c r="Q16" s="42">
        <v>0.33803090047025863</v>
      </c>
      <c r="V16" s="41">
        <v>0.7</v>
      </c>
      <c r="W16" s="42">
        <v>0.22797260133176678</v>
      </c>
      <c r="AB16" s="41">
        <v>0.7</v>
      </c>
      <c r="AC16" s="42">
        <v>0.17197291871216769</v>
      </c>
    </row>
    <row r="17" spans="1:29" x14ac:dyDescent="0.25">
      <c r="A17" s="41">
        <v>0.75</v>
      </c>
      <c r="B17" s="41">
        <v>2.08</v>
      </c>
      <c r="D17" s="41">
        <v>0.75</v>
      </c>
      <c r="E17" s="42">
        <v>2.6381672362949264</v>
      </c>
      <c r="J17" s="41">
        <v>0.75</v>
      </c>
      <c r="K17" s="42">
        <v>0.69646011787471096</v>
      </c>
      <c r="P17" s="41">
        <v>0.75</v>
      </c>
      <c r="Q17" s="42">
        <v>0.36128256835723571</v>
      </c>
      <c r="V17" s="41">
        <v>0.75</v>
      </c>
      <c r="W17" s="42">
        <v>0.24385287749642992</v>
      </c>
      <c r="AB17" s="41">
        <v>0.75</v>
      </c>
      <c r="AC17" s="42">
        <v>0.18402791139589092</v>
      </c>
    </row>
    <row r="18" spans="1:29" x14ac:dyDescent="0.25">
      <c r="A18" s="41">
        <v>0.8</v>
      </c>
      <c r="B18" s="41">
        <v>2.25</v>
      </c>
      <c r="D18" s="41">
        <v>0.8</v>
      </c>
      <c r="E18" s="42">
        <v>2.7533551794138922</v>
      </c>
      <c r="J18" s="41">
        <v>0.8</v>
      </c>
      <c r="K18" s="42">
        <v>0.73928105516894327</v>
      </c>
      <c r="P18" s="41">
        <v>0.8</v>
      </c>
      <c r="Q18" s="42">
        <v>0.38441826806682122</v>
      </c>
      <c r="V18" s="41">
        <v>0.8</v>
      </c>
      <c r="W18" s="42">
        <v>0.25968030753302229</v>
      </c>
      <c r="AB18" s="41">
        <v>0.8</v>
      </c>
      <c r="AC18" s="42">
        <v>0.19605280423838412</v>
      </c>
    </row>
    <row r="19" spans="1:29" x14ac:dyDescent="0.25">
      <c r="A19" s="41">
        <v>0.85</v>
      </c>
      <c r="B19" s="41">
        <v>2.2999999999999998</v>
      </c>
      <c r="D19" s="41">
        <v>0.85</v>
      </c>
      <c r="E19" s="42">
        <v>2.8629253402563664</v>
      </c>
      <c r="J19" s="41">
        <v>0.85</v>
      </c>
      <c r="K19" s="42">
        <v>0.78167591701808148</v>
      </c>
      <c r="P19" s="41">
        <v>0.85</v>
      </c>
      <c r="Q19" s="42">
        <v>0.4074385779927131</v>
      </c>
      <c r="V19" s="41">
        <v>0.85</v>
      </c>
      <c r="W19" s="42">
        <v>0.27545506730204117</v>
      </c>
      <c r="AB19" s="41">
        <v>0.85</v>
      </c>
      <c r="AC19" s="42">
        <v>0.20804767239526512</v>
      </c>
    </row>
    <row r="20" spans="1:29" x14ac:dyDescent="0.25">
      <c r="A20" s="41">
        <v>0.9</v>
      </c>
      <c r="B20" s="41">
        <v>2.42</v>
      </c>
      <c r="D20" s="41">
        <v>0.9</v>
      </c>
      <c r="E20" s="42">
        <v>2.9671517012970043</v>
      </c>
      <c r="J20" s="41">
        <v>0.9</v>
      </c>
      <c r="K20" s="42">
        <v>0.82364894294363999</v>
      </c>
      <c r="P20" s="41">
        <v>0.9</v>
      </c>
      <c r="Q20" s="42">
        <v>0.43034407364385907</v>
      </c>
      <c r="V20" s="41">
        <v>0.9</v>
      </c>
      <c r="W20" s="42">
        <v>0.2911773320787564</v>
      </c>
      <c r="AB20" s="41">
        <v>0.9</v>
      </c>
      <c r="AC20" s="42">
        <v>0.2200125908345002</v>
      </c>
    </row>
    <row r="21" spans="1:29" x14ac:dyDescent="0.25">
      <c r="A21" s="41">
        <v>0.95</v>
      </c>
      <c r="B21" s="41">
        <v>2.5499999999999998</v>
      </c>
      <c r="D21" s="41">
        <v>0.95</v>
      </c>
      <c r="E21" s="42">
        <v>3.0662948827274938</v>
      </c>
      <c r="J21" s="41">
        <v>0.95</v>
      </c>
      <c r="K21" s="42">
        <v>0.86520433028318855</v>
      </c>
      <c r="P21" s="41">
        <v>0.95</v>
      </c>
      <c r="Q21" s="42">
        <v>0.4531353276588429</v>
      </c>
      <c r="V21" s="41">
        <v>0.95</v>
      </c>
      <c r="W21" s="42">
        <v>0.30684727655516164</v>
      </c>
      <c r="AB21" s="41">
        <v>0.95</v>
      </c>
      <c r="AC21" s="42">
        <v>0.23194763433686816</v>
      </c>
    </row>
    <row r="22" spans="1:29" x14ac:dyDescent="0.25">
      <c r="A22" s="41">
        <v>1</v>
      </c>
      <c r="B22" s="41">
        <v>2.6</v>
      </c>
      <c r="D22" s="41">
        <v>1</v>
      </c>
      <c r="E22" s="42">
        <v>3.1606027941427883</v>
      </c>
      <c r="J22" s="41">
        <v>1</v>
      </c>
      <c r="K22" s="42">
        <v>0.9063462346100909</v>
      </c>
      <c r="P22" s="41">
        <v>1</v>
      </c>
      <c r="Q22" s="42">
        <v>0.47581290982020241</v>
      </c>
      <c r="V22" s="41">
        <v>1</v>
      </c>
      <c r="W22" s="42">
        <v>0.32246507484191111</v>
      </c>
      <c r="AB22" s="41">
        <v>1</v>
      </c>
      <c r="AC22" s="42">
        <v>0.24385287749642992</v>
      </c>
    </row>
    <row r="23" spans="1:29" x14ac:dyDescent="0.25">
      <c r="A23" s="41">
        <v>1.1000000000000001</v>
      </c>
      <c r="B23" s="41">
        <v>2.85</v>
      </c>
      <c r="D23" s="41">
        <v>1.1000000000000001</v>
      </c>
      <c r="E23" s="42">
        <v>3.3356445815096025</v>
      </c>
      <c r="J23" s="41">
        <v>1.1000000000000001</v>
      </c>
      <c r="K23" s="42">
        <v>0.98740601018760754</v>
      </c>
      <c r="P23" s="41">
        <v>1.1000000000000001</v>
      </c>
      <c r="Q23" s="42">
        <v>0.52082932351735889</v>
      </c>
      <c r="V23" s="41">
        <v>1.1000000000000001</v>
      </c>
      <c r="W23" s="42">
        <v>0.35354492639398216</v>
      </c>
      <c r="AB23" s="41">
        <v>1.1000000000000001</v>
      </c>
      <c r="AC23" s="42">
        <v>0.26757426023258091</v>
      </c>
    </row>
    <row r="24" spans="1:29" x14ac:dyDescent="0.25">
      <c r="A24" s="41">
        <v>1.2</v>
      </c>
      <c r="B24" s="41">
        <v>3.05</v>
      </c>
      <c r="D24" s="41">
        <v>1.2</v>
      </c>
      <c r="E24" s="42">
        <v>3.494028940438989</v>
      </c>
      <c r="J24" s="41">
        <v>1.2</v>
      </c>
      <c r="K24" s="42">
        <v>1.0668606946672328</v>
      </c>
      <c r="P24" s="41">
        <v>1.2</v>
      </c>
      <c r="Q24" s="42">
        <v>0.56539781641421261</v>
      </c>
      <c r="V24" s="41">
        <v>1.2</v>
      </c>
      <c r="W24" s="42">
        <v>0.38441826806682122</v>
      </c>
      <c r="AB24" s="41">
        <v>1.2</v>
      </c>
      <c r="AC24" s="42">
        <v>0.2911773320787564</v>
      </c>
    </row>
    <row r="25" spans="1:29" x14ac:dyDescent="0.25">
      <c r="A25" s="41">
        <v>1.3</v>
      </c>
      <c r="B25" s="41">
        <v>3.1</v>
      </c>
      <c r="D25" s="41">
        <v>1.3</v>
      </c>
      <c r="E25" s="42">
        <v>3.6373410348299373</v>
      </c>
      <c r="J25" s="41">
        <v>1.3</v>
      </c>
      <c r="K25" s="42">
        <v>1.1447420709821687</v>
      </c>
      <c r="P25" s="41">
        <v>1.3</v>
      </c>
      <c r="Q25" s="42">
        <v>0.60952284539719348</v>
      </c>
      <c r="V25" s="41">
        <v>1.3</v>
      </c>
      <c r="W25" s="42">
        <v>0.41508647201402848</v>
      </c>
      <c r="AB25" s="41">
        <v>1.3</v>
      </c>
      <c r="AC25" s="42">
        <v>0.31466268311298284</v>
      </c>
    </row>
    <row r="26" spans="1:29" x14ac:dyDescent="0.25">
      <c r="A26" s="41">
        <v>1.4</v>
      </c>
      <c r="B26" s="41">
        <v>3.28</v>
      </c>
      <c r="D26" s="41">
        <v>1.4</v>
      </c>
      <c r="E26" s="42">
        <v>3.7670151802919678</v>
      </c>
      <c r="J26" s="41">
        <v>1.4</v>
      </c>
      <c r="K26" s="42">
        <v>1.2210812927213728</v>
      </c>
      <c r="P26" s="41">
        <v>1.4</v>
      </c>
      <c r="Q26" s="42">
        <v>0.65320882300597072</v>
      </c>
      <c r="V26" s="41">
        <v>1.4</v>
      </c>
      <c r="W26" s="42">
        <v>0.44555090127193941</v>
      </c>
      <c r="AB26" s="41">
        <v>1.4</v>
      </c>
      <c r="AC26" s="42">
        <v>0.33803090047025863</v>
      </c>
    </row>
    <row r="27" spans="1:29" x14ac:dyDescent="0.25">
      <c r="A27" s="41">
        <v>1.5</v>
      </c>
      <c r="B27" s="41">
        <v>3.35</v>
      </c>
      <c r="D27" s="41">
        <v>1.5</v>
      </c>
      <c r="E27" s="42">
        <v>3.8843491992578509</v>
      </c>
      <c r="J27" s="41">
        <v>1.5</v>
      </c>
      <c r="K27" s="42">
        <v>1.2959088965914107</v>
      </c>
      <c r="P27" s="41">
        <v>1.5</v>
      </c>
      <c r="Q27" s="42">
        <v>0.69646011787471096</v>
      </c>
      <c r="V27" s="41">
        <v>1.5</v>
      </c>
      <c r="W27" s="42">
        <v>0.47581290982020241</v>
      </c>
      <c r="AB27" s="41">
        <v>1.5</v>
      </c>
      <c r="AC27" s="42">
        <v>0.36128256835723571</v>
      </c>
    </row>
    <row r="28" spans="1:29" x14ac:dyDescent="0.25">
      <c r="A28" s="41">
        <v>1.6</v>
      </c>
      <c r="B28" s="41">
        <v>3.48</v>
      </c>
      <c r="D28" s="41">
        <v>1.6</v>
      </c>
      <c r="E28" s="42">
        <v>3.9905174100267233</v>
      </c>
      <c r="J28" s="41">
        <v>1.6</v>
      </c>
      <c r="K28" s="42">
        <v>1.3692548146315453</v>
      </c>
      <c r="P28" s="41">
        <v>1.6</v>
      </c>
      <c r="Q28" s="42">
        <v>0.73928105516894327</v>
      </c>
      <c r="V28" s="41">
        <v>1.6</v>
      </c>
      <c r="W28" s="42">
        <v>0.50587384264195567</v>
      </c>
      <c r="AB28" s="41">
        <v>1.6</v>
      </c>
      <c r="AC28" s="42">
        <v>0.38441826806682122</v>
      </c>
    </row>
    <row r="29" spans="1:29" x14ac:dyDescent="0.25">
      <c r="A29" s="41">
        <v>1.7</v>
      </c>
      <c r="B29" s="41">
        <v>3.52</v>
      </c>
      <c r="D29" s="41">
        <v>1.7</v>
      </c>
      <c r="E29" s="42">
        <v>4.0865823797363268</v>
      </c>
      <c r="J29" s="41">
        <v>1.7</v>
      </c>
      <c r="K29" s="42">
        <v>1.4411483861869512</v>
      </c>
      <c r="P29" s="41">
        <v>1.7</v>
      </c>
      <c r="Q29" s="42">
        <v>0.78167591701808148</v>
      </c>
      <c r="V29" s="41">
        <v>1.7</v>
      </c>
      <c r="W29" s="42">
        <v>0.5357350357836077</v>
      </c>
      <c r="AB29" s="41">
        <v>1.7</v>
      </c>
      <c r="AC29" s="42">
        <v>0.4074385779927131</v>
      </c>
    </row>
    <row r="30" spans="1:29" x14ac:dyDescent="0.25">
      <c r="A30" s="41">
        <v>1.8</v>
      </c>
      <c r="B30" s="41">
        <v>3.6</v>
      </c>
      <c r="D30" s="41">
        <v>1.8</v>
      </c>
      <c r="E30" s="42">
        <v>4.1735055588920673</v>
      </c>
      <c r="J30" s="41">
        <v>1.8</v>
      </c>
      <c r="K30" s="42">
        <v>1.5116183696448449</v>
      </c>
      <c r="P30" s="41">
        <v>1.8</v>
      </c>
      <c r="Q30" s="42">
        <v>0.82364894294363999</v>
      </c>
      <c r="V30" s="41">
        <v>1.8</v>
      </c>
      <c r="W30" s="42">
        <v>0.56539781641421261</v>
      </c>
      <c r="AB30" s="41">
        <v>1.8</v>
      </c>
      <c r="AC30" s="42">
        <v>0.43034407364385907</v>
      </c>
    </row>
    <row r="31" spans="1:29" x14ac:dyDescent="0.25">
      <c r="A31" s="41">
        <v>1.9</v>
      </c>
      <c r="B31" s="41">
        <v>3.68</v>
      </c>
      <c r="D31" s="41">
        <v>1.9</v>
      </c>
      <c r="E31" s="42">
        <v>4.2521569038868243</v>
      </c>
      <c r="J31" s="41">
        <v>1.9</v>
      </c>
      <c r="K31" s="42">
        <v>1.5806929539382208</v>
      </c>
      <c r="P31" s="41">
        <v>1.9</v>
      </c>
      <c r="Q31" s="42">
        <v>0.86520433028318855</v>
      </c>
      <c r="V31" s="41">
        <v>1.9</v>
      </c>
      <c r="W31" s="42">
        <v>0.59486350288445899</v>
      </c>
      <c r="AB31" s="41">
        <v>1.9</v>
      </c>
      <c r="AC31" s="42">
        <v>0.4531353276588429</v>
      </c>
    </row>
    <row r="32" spans="1:29" x14ac:dyDescent="0.25">
      <c r="A32" s="41">
        <v>2</v>
      </c>
      <c r="B32" s="41">
        <v>3.72</v>
      </c>
      <c r="D32" s="41">
        <v>2</v>
      </c>
      <c r="E32" s="42">
        <v>4.3233235838169364</v>
      </c>
      <c r="J32" s="41">
        <v>2</v>
      </c>
      <c r="K32" s="42">
        <v>1.6483997698218034</v>
      </c>
      <c r="P32" s="41">
        <v>2</v>
      </c>
      <c r="Q32" s="42">
        <v>0.9063462346100909</v>
      </c>
      <c r="V32" s="41">
        <v>2</v>
      </c>
      <c r="W32" s="42">
        <v>0.62413340478526258</v>
      </c>
      <c r="AB32" s="41">
        <v>2</v>
      </c>
      <c r="AC32" s="42">
        <v>0.47581290982020241</v>
      </c>
    </row>
    <row r="33" spans="1:29" x14ac:dyDescent="0.25">
      <c r="A33" s="41">
        <v>2.2000000000000002</v>
      </c>
      <c r="B33" s="41">
        <v>3.88</v>
      </c>
      <c r="D33" s="41">
        <v>2.2000000000000002</v>
      </c>
      <c r="E33" s="42">
        <v>4.4459842081883307</v>
      </c>
      <c r="J33" s="41">
        <v>2.2000000000000002</v>
      </c>
      <c r="K33" s="42">
        <v>1.7798178945842935</v>
      </c>
      <c r="P33" s="41">
        <v>2.2000000000000002</v>
      </c>
      <c r="Q33" s="42">
        <v>0.98740601018760754</v>
      </c>
      <c r="V33" s="41">
        <v>2.2000000000000002</v>
      </c>
      <c r="W33" s="42">
        <v>0.68209104979217949</v>
      </c>
      <c r="AB33" s="41">
        <v>2.2000000000000002</v>
      </c>
      <c r="AC33" s="42">
        <v>0.52082932351735889</v>
      </c>
    </row>
    <row r="34" spans="1:29" x14ac:dyDescent="0.25">
      <c r="A34" s="41">
        <v>2.4</v>
      </c>
      <c r="B34" s="41">
        <v>4</v>
      </c>
      <c r="D34" s="41">
        <v>2.4</v>
      </c>
      <c r="E34" s="42">
        <v>4.5464102335529377</v>
      </c>
      <c r="J34" s="41">
        <v>2.4</v>
      </c>
      <c r="K34" s="42">
        <v>1.9060830409692957</v>
      </c>
      <c r="P34" s="41">
        <v>2.4</v>
      </c>
      <c r="Q34" s="42">
        <v>1.0668606946672328</v>
      </c>
      <c r="V34" s="41">
        <v>2.4</v>
      </c>
      <c r="W34" s="42">
        <v>0.73928105516894327</v>
      </c>
      <c r="AB34" s="41">
        <v>2.4</v>
      </c>
      <c r="AC34" s="42">
        <v>0.56539781641421261</v>
      </c>
    </row>
    <row r="35" spans="1:29" x14ac:dyDescent="0.25">
      <c r="A35" s="41">
        <v>2.6</v>
      </c>
      <c r="B35" s="41">
        <v>4.0999999999999996</v>
      </c>
      <c r="D35" s="41">
        <v>2.6</v>
      </c>
      <c r="E35" s="42">
        <v>4.6286321089283309</v>
      </c>
      <c r="J35" s="41">
        <v>2.6</v>
      </c>
      <c r="K35" s="42">
        <v>2.0273972601490282</v>
      </c>
      <c r="P35" s="41">
        <v>2.6</v>
      </c>
      <c r="Q35" s="42">
        <v>1.1447420709821687</v>
      </c>
      <c r="V35" s="41">
        <v>2.6</v>
      </c>
      <c r="W35" s="42">
        <v>0.79571358817824622</v>
      </c>
      <c r="AB35" s="41">
        <v>2.6</v>
      </c>
      <c r="AC35" s="42">
        <v>0.60952284539719348</v>
      </c>
    </row>
    <row r="36" spans="1:29" x14ac:dyDescent="0.25">
      <c r="A36" s="41">
        <v>2.8</v>
      </c>
      <c r="B36" s="41">
        <v>4.18</v>
      </c>
      <c r="D36" s="41">
        <v>2.8</v>
      </c>
      <c r="E36" s="42">
        <v>4.6959496868739103</v>
      </c>
      <c r="J36" s="41">
        <v>2.8</v>
      </c>
      <c r="K36" s="42">
        <v>2.1439546807559258</v>
      </c>
      <c r="P36" s="41">
        <v>2.8</v>
      </c>
      <c r="Q36" s="42">
        <v>1.2210812927213728</v>
      </c>
      <c r="V36" s="41">
        <v>2.8</v>
      </c>
      <c r="W36" s="42">
        <v>0.85139868141903108</v>
      </c>
      <c r="AB36" s="41">
        <v>2.8</v>
      </c>
      <c r="AC36" s="42">
        <v>0.65320882300597072</v>
      </c>
    </row>
    <row r="37" spans="1:29" x14ac:dyDescent="0.25">
      <c r="A37" s="41">
        <v>3</v>
      </c>
      <c r="B37" s="41">
        <v>4.22</v>
      </c>
      <c r="D37" s="41">
        <v>3</v>
      </c>
      <c r="E37" s="42">
        <v>4.7510646581606801</v>
      </c>
      <c r="J37" s="41">
        <v>3</v>
      </c>
      <c r="K37" s="42">
        <v>2.2559418195298679</v>
      </c>
      <c r="P37" s="41">
        <v>3</v>
      </c>
      <c r="Q37" s="42">
        <v>1.2959088965914107</v>
      </c>
      <c r="V37" s="41">
        <v>3</v>
      </c>
      <c r="W37" s="42">
        <v>0.9063462346100909</v>
      </c>
      <c r="AB37" s="41">
        <v>3</v>
      </c>
      <c r="AC37" s="42">
        <v>0.69646011787471096</v>
      </c>
    </row>
    <row r="38" spans="1:29" x14ac:dyDescent="0.25">
      <c r="A38" s="41">
        <v>3.5</v>
      </c>
      <c r="B38" s="41">
        <v>4.45</v>
      </c>
      <c r="D38" s="41">
        <v>3.5</v>
      </c>
      <c r="E38" s="42">
        <v>4.8490130828884075</v>
      </c>
      <c r="J38" s="41">
        <v>3.5</v>
      </c>
      <c r="K38" s="42">
        <v>2.5170734810429525</v>
      </c>
      <c r="P38" s="41">
        <v>3.5</v>
      </c>
      <c r="Q38" s="42">
        <v>1.4765595514064329</v>
      </c>
      <c r="V38" s="41">
        <v>3.5</v>
      </c>
      <c r="W38" s="42">
        <v>1.0405521683160917</v>
      </c>
      <c r="AB38" s="41">
        <v>3.5</v>
      </c>
      <c r="AC38" s="42">
        <v>0.80271489615396319</v>
      </c>
    </row>
    <row r="39" spans="1:29" x14ac:dyDescent="0.25">
      <c r="A39" s="41">
        <v>4</v>
      </c>
      <c r="B39" s="41">
        <v>4.5999999999999996</v>
      </c>
      <c r="D39" s="41">
        <v>4</v>
      </c>
      <c r="E39" s="42">
        <v>4.9084218055563289</v>
      </c>
      <c r="J39" s="41">
        <v>4</v>
      </c>
      <c r="K39" s="42">
        <v>2.7533551794138922</v>
      </c>
      <c r="P39" s="41">
        <v>4</v>
      </c>
      <c r="Q39" s="42">
        <v>1.6483997698218034</v>
      </c>
      <c r="V39" s="41">
        <v>4</v>
      </c>
      <c r="W39" s="42">
        <v>1.1703583081767566</v>
      </c>
      <c r="AB39" s="41">
        <v>4</v>
      </c>
      <c r="AC39" s="42">
        <v>0.9063462346100909</v>
      </c>
    </row>
    <row r="40" spans="1:29" x14ac:dyDescent="0.25">
      <c r="A40" s="41">
        <v>5</v>
      </c>
      <c r="B40" s="41">
        <v>4.78</v>
      </c>
      <c r="D40" s="41">
        <v>5</v>
      </c>
      <c r="E40" s="42">
        <v>4.966310265004573</v>
      </c>
      <c r="J40" s="41">
        <v>5</v>
      </c>
      <c r="K40" s="42">
        <v>3.1606027941427883</v>
      </c>
      <c r="P40" s="41">
        <v>5</v>
      </c>
      <c r="Q40" s="42">
        <v>1.9673467014368329</v>
      </c>
      <c r="V40" s="41">
        <v>5</v>
      </c>
      <c r="W40" s="42">
        <v>1.4173434471310538</v>
      </c>
      <c r="AB40" s="41">
        <v>5</v>
      </c>
      <c r="AC40" s="42">
        <v>1.1059960846429755</v>
      </c>
    </row>
    <row r="41" spans="1:29" x14ac:dyDescent="0.25">
      <c r="A41" s="41">
        <v>6</v>
      </c>
      <c r="B41" s="41">
        <v>4.8499999999999996</v>
      </c>
      <c r="D41" s="41">
        <v>6</v>
      </c>
      <c r="E41" s="42">
        <v>4.9876062391166682</v>
      </c>
      <c r="J41" s="41">
        <v>6</v>
      </c>
      <c r="K41" s="42">
        <v>3.494028940438989</v>
      </c>
      <c r="P41" s="41">
        <v>6</v>
      </c>
      <c r="Q41" s="42">
        <v>2.2559418195298679</v>
      </c>
      <c r="V41" s="41">
        <v>6</v>
      </c>
      <c r="W41" s="42">
        <v>1.6483997698218034</v>
      </c>
      <c r="AB41" s="41">
        <v>6</v>
      </c>
      <c r="AC41" s="42">
        <v>1.2959088965914107</v>
      </c>
    </row>
    <row r="42" spans="1:29" x14ac:dyDescent="0.25">
      <c r="A42" s="41">
        <v>7</v>
      </c>
      <c r="B42" s="41">
        <v>4.92</v>
      </c>
      <c r="D42" s="41">
        <v>7</v>
      </c>
      <c r="E42" s="42">
        <v>4.9954405901722279</v>
      </c>
      <c r="J42" s="41">
        <v>7</v>
      </c>
      <c r="K42" s="42">
        <v>3.7670151802919678</v>
      </c>
      <c r="P42" s="41">
        <v>7</v>
      </c>
      <c r="Q42" s="42">
        <v>2.5170734810429525</v>
      </c>
      <c r="V42" s="41">
        <v>7</v>
      </c>
      <c r="W42" s="42">
        <v>1.8645545736347198</v>
      </c>
      <c r="AB42" s="41">
        <v>7</v>
      </c>
      <c r="AC42" s="42">
        <v>1.4765595514064329</v>
      </c>
    </row>
    <row r="43" spans="1:29" x14ac:dyDescent="0.25">
      <c r="A43" s="41">
        <v>8</v>
      </c>
      <c r="B43" s="41">
        <v>4.95</v>
      </c>
      <c r="D43" s="41">
        <v>8</v>
      </c>
      <c r="E43" s="42">
        <v>4.9983226868604875</v>
      </c>
      <c r="J43" s="41">
        <v>8</v>
      </c>
      <c r="K43" s="42">
        <v>3.9905174100267233</v>
      </c>
      <c r="P43" s="41">
        <v>8</v>
      </c>
      <c r="Q43" s="42">
        <v>2.7533551794138922</v>
      </c>
      <c r="V43" s="41">
        <v>8</v>
      </c>
      <c r="W43" s="42">
        <v>2.0667689024498408</v>
      </c>
      <c r="AB43" s="41">
        <v>8</v>
      </c>
      <c r="AC43" s="42">
        <v>1.6483997698218034</v>
      </c>
    </row>
    <row r="44" spans="1:29" x14ac:dyDescent="0.25">
      <c r="A44" s="41">
        <v>9</v>
      </c>
      <c r="B44" s="41">
        <v>5.01</v>
      </c>
      <c r="D44" s="41">
        <v>9</v>
      </c>
      <c r="E44" s="42">
        <v>4.9993829509795669</v>
      </c>
      <c r="J44" s="41">
        <v>9</v>
      </c>
      <c r="K44" s="42">
        <v>4.1735055588920673</v>
      </c>
      <c r="P44" s="41">
        <v>9</v>
      </c>
      <c r="Q44" s="42">
        <v>2.9671517012970043</v>
      </c>
      <c r="V44" s="41">
        <v>9</v>
      </c>
      <c r="W44" s="42">
        <v>2.2559418195298679</v>
      </c>
      <c r="AB44" s="41">
        <v>9</v>
      </c>
      <c r="AC44" s="42">
        <v>1.8118592418911335</v>
      </c>
    </row>
    <row r="45" spans="1:29" x14ac:dyDescent="0.25">
      <c r="A45" s="41">
        <v>10</v>
      </c>
      <c r="B45" s="41">
        <v>4.9800000000000004</v>
      </c>
      <c r="D45" s="41">
        <v>10</v>
      </c>
      <c r="E45" s="42">
        <v>4.9997730003511878</v>
      </c>
      <c r="J45" s="41">
        <v>10</v>
      </c>
      <c r="K45" s="42">
        <v>4.3233235838169364</v>
      </c>
      <c r="P45" s="41">
        <v>10</v>
      </c>
      <c r="Q45" s="42">
        <v>3.1606027941427883</v>
      </c>
      <c r="V45" s="41">
        <v>10</v>
      </c>
      <c r="W45" s="42">
        <v>2.4329144048370397</v>
      </c>
      <c r="AB45" s="41">
        <v>10</v>
      </c>
      <c r="AC45" s="42">
        <v>1.9673467014368329</v>
      </c>
    </row>
    <row r="46" spans="1:29" x14ac:dyDescent="0.25">
      <c r="J46" s="43"/>
      <c r="K46" s="4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1048576"/>
  <sheetViews>
    <sheetView zoomScale="95" zoomScaleNormal="95" workbookViewId="0">
      <selection activeCell="G21" sqref="G21"/>
    </sheetView>
  </sheetViews>
  <sheetFormatPr baseColWidth="10" defaultRowHeight="15" x14ac:dyDescent="0.25"/>
  <cols>
    <col min="2" max="2" width="21.42578125" customWidth="1"/>
    <col min="6" max="6" width="13.85546875" bestFit="1" customWidth="1"/>
    <col min="7" max="7" width="23.5703125" customWidth="1"/>
  </cols>
  <sheetData>
    <row r="2" spans="2:10" ht="26.25" customHeight="1" x14ac:dyDescent="0.25">
      <c r="B2" s="19" t="s">
        <v>26</v>
      </c>
      <c r="C2" s="19" t="s">
        <v>83</v>
      </c>
      <c r="D2" s="19" t="s">
        <v>84</v>
      </c>
      <c r="E2" s="19" t="s">
        <v>85</v>
      </c>
      <c r="F2" s="19" t="s">
        <v>86</v>
      </c>
      <c r="G2" s="19" t="s">
        <v>87</v>
      </c>
    </row>
    <row r="3" spans="2:10" x14ac:dyDescent="0.25">
      <c r="B3" s="20" t="s">
        <v>88</v>
      </c>
      <c r="C3" s="20">
        <v>16</v>
      </c>
      <c r="D3" s="20" t="s">
        <v>101</v>
      </c>
      <c r="E3" s="20">
        <v>1</v>
      </c>
      <c r="F3" s="20">
        <v>9</v>
      </c>
      <c r="G3" s="20" t="s">
        <v>103</v>
      </c>
    </row>
    <row r="4" spans="2:10" x14ac:dyDescent="0.25">
      <c r="B4" s="20" t="s">
        <v>89</v>
      </c>
      <c r="C4" s="20">
        <v>17</v>
      </c>
      <c r="D4" s="20" t="s">
        <v>101</v>
      </c>
      <c r="E4" s="20">
        <v>2</v>
      </c>
      <c r="F4" s="20">
        <v>7</v>
      </c>
      <c r="G4" s="20" t="s">
        <v>104</v>
      </c>
    </row>
    <row r="5" spans="2:10" x14ac:dyDescent="0.25">
      <c r="B5" s="20" t="s">
        <v>90</v>
      </c>
      <c r="C5" s="20">
        <v>20</v>
      </c>
      <c r="D5" s="20" t="s">
        <v>101</v>
      </c>
      <c r="E5" s="20">
        <v>3</v>
      </c>
      <c r="F5" s="20">
        <v>8</v>
      </c>
      <c r="G5" s="20" t="s">
        <v>104</v>
      </c>
    </row>
    <row r="6" spans="2:10" x14ac:dyDescent="0.25">
      <c r="B6" s="20" t="s">
        <v>91</v>
      </c>
      <c r="C6" s="20">
        <v>16</v>
      </c>
      <c r="D6" s="20" t="s">
        <v>102</v>
      </c>
      <c r="E6" s="20">
        <v>1</v>
      </c>
      <c r="F6" s="20">
        <v>2</v>
      </c>
      <c r="G6" s="20" t="s">
        <v>103</v>
      </c>
    </row>
    <row r="7" spans="2:10" x14ac:dyDescent="0.25">
      <c r="B7" s="20" t="s">
        <v>92</v>
      </c>
      <c r="C7" s="20">
        <v>20</v>
      </c>
      <c r="D7" s="20" t="s">
        <v>102</v>
      </c>
      <c r="E7" s="20">
        <v>3</v>
      </c>
      <c r="F7" s="20">
        <v>8</v>
      </c>
      <c r="G7" s="20" t="s">
        <v>103</v>
      </c>
      <c r="H7" s="20"/>
      <c r="I7" s="20"/>
      <c r="J7" s="20"/>
    </row>
    <row r="8" spans="2:10" x14ac:dyDescent="0.25">
      <c r="B8" s="20" t="s">
        <v>93</v>
      </c>
      <c r="C8" s="20">
        <v>18</v>
      </c>
      <c r="D8" s="20" t="s">
        <v>101</v>
      </c>
      <c r="E8" s="20">
        <v>2</v>
      </c>
      <c r="F8" s="20">
        <v>7</v>
      </c>
      <c r="G8" s="20" t="s">
        <v>104</v>
      </c>
    </row>
    <row r="9" spans="2:10" x14ac:dyDescent="0.25">
      <c r="B9" s="20" t="s">
        <v>94</v>
      </c>
      <c r="C9" s="20">
        <v>18</v>
      </c>
      <c r="D9" s="20" t="s">
        <v>101</v>
      </c>
      <c r="E9" s="20">
        <v>3</v>
      </c>
      <c r="F9" s="20">
        <v>10</v>
      </c>
      <c r="G9" s="20" t="s">
        <v>104</v>
      </c>
    </row>
    <row r="10" spans="2:10" x14ac:dyDescent="0.25">
      <c r="B10" s="20" t="s">
        <v>95</v>
      </c>
      <c r="C10" s="20">
        <v>16</v>
      </c>
      <c r="D10" s="20" t="s">
        <v>102</v>
      </c>
      <c r="E10" s="20">
        <v>1</v>
      </c>
      <c r="F10" s="20">
        <v>7</v>
      </c>
      <c r="G10" s="20" t="s">
        <v>103</v>
      </c>
    </row>
    <row r="11" spans="2:10" x14ac:dyDescent="0.25">
      <c r="B11" s="20"/>
      <c r="C11" s="20"/>
      <c r="D11" s="20"/>
      <c r="E11" s="20"/>
      <c r="F11" s="20"/>
      <c r="G11" s="20"/>
    </row>
    <row r="12" spans="2:10" x14ac:dyDescent="0.25">
      <c r="B12" s="20"/>
      <c r="C12" s="20" t="s">
        <v>96</v>
      </c>
      <c r="D12" s="20" t="s">
        <v>97</v>
      </c>
      <c r="E12" s="20" t="s">
        <v>98</v>
      </c>
      <c r="F12" s="20" t="s">
        <v>99</v>
      </c>
      <c r="G12" s="20" t="s">
        <v>100</v>
      </c>
    </row>
    <row r="13" spans="2:10" x14ac:dyDescent="0.25">
      <c r="B13" s="20"/>
      <c r="C13" s="20">
        <v>17</v>
      </c>
      <c r="D13" s="20" t="s">
        <v>102</v>
      </c>
      <c r="E13" s="20">
        <v>4</v>
      </c>
      <c r="F13" s="20">
        <v>6</v>
      </c>
      <c r="G13" s="20" t="s">
        <v>104</v>
      </c>
    </row>
    <row r="14" spans="2:10" x14ac:dyDescent="0.25">
      <c r="B14" s="20" t="s">
        <v>105</v>
      </c>
      <c r="C14" s="20">
        <f>DCOUNT(B$2:G$10,"EDAD",C12:C13)</f>
        <v>1</v>
      </c>
      <c r="D14" s="20">
        <f>DCOUNT(C$2:H$10,"SEXO",D12:D13)</f>
        <v>0</v>
      </c>
      <c r="E14" s="20">
        <f>DCOUNT(D$2:I$10,"GRADO",E12:E13)</f>
        <v>0</v>
      </c>
      <c r="F14" s="20">
        <f>DCOUNT(E$2:J$10,"GRADO",F12:F13)</f>
        <v>8</v>
      </c>
      <c r="G14" s="20"/>
    </row>
    <row r="15" spans="2:10" x14ac:dyDescent="0.25">
      <c r="C15">
        <f>DCOUNTA(B2:G10,"EDAD",C12:C13)</f>
        <v>1</v>
      </c>
      <c r="D15">
        <f t="shared" ref="D15" si="0">DCOUNTA(C2:H10,"EDAD",D12:D13)</f>
        <v>3</v>
      </c>
      <c r="E15">
        <f>DCOUNTA(B2:G10,"GRADO",E12:E13)</f>
        <v>0</v>
      </c>
      <c r="F15">
        <f>DCOUNTA(E2:J10,"CALIFICACION",F12:F13)</f>
        <v>8</v>
      </c>
    </row>
    <row r="16" spans="2:10" x14ac:dyDescent="0.25">
      <c r="C16">
        <f>DMAX(B2:G10,"EDAD",C12:C13)</f>
        <v>17</v>
      </c>
      <c r="D16">
        <f t="shared" ref="D16" si="1">DMAX(C2:H10,"EDAD",D12:D13)</f>
        <v>20</v>
      </c>
      <c r="E16">
        <f>DMAX(D2:I10,"GRADO",E12:E13)</f>
        <v>0</v>
      </c>
      <c r="F16">
        <f>DMAX(E2:J10,"CALIFICACION",F12:F13)</f>
        <v>10</v>
      </c>
    </row>
    <row r="17" spans="3:6" x14ac:dyDescent="0.25">
      <c r="C17">
        <f>DMIN(B2:G10,"EDAD",C12:C13)</f>
        <v>17</v>
      </c>
      <c r="D17">
        <f>DMIN(C2:H10,"EDAD",D12:D13)</f>
        <v>16</v>
      </c>
      <c r="E17">
        <f>DMIN(D2:I10,"GRADO",E12:E13)</f>
        <v>0</v>
      </c>
      <c r="F17">
        <f>DMIN(E2:J10,"CALIFICACION",F12:F13)</f>
        <v>2</v>
      </c>
    </row>
    <row r="1048576" spans="2:2" x14ac:dyDescent="0.25">
      <c r="B1048576" t="s">
        <v>106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6"/>
  <sheetViews>
    <sheetView workbookViewId="0">
      <selection activeCell="K30" sqref="K30"/>
    </sheetView>
  </sheetViews>
  <sheetFormatPr baseColWidth="10" defaultRowHeight="15" x14ac:dyDescent="0.25"/>
  <cols>
    <col min="2" max="2" width="11.5703125" customWidth="1"/>
    <col min="5" max="5" width="14.5703125" customWidth="1"/>
    <col min="7" max="7" width="12.5703125" bestFit="1" customWidth="1"/>
    <col min="9" max="9" width="24" customWidth="1"/>
    <col min="10" max="10" width="25.85546875" customWidth="1"/>
    <col min="11" max="11" width="24.28515625" customWidth="1"/>
    <col min="14" max="14" width="12.85546875" customWidth="1"/>
    <col min="15" max="15" width="16.28515625" customWidth="1"/>
    <col min="16" max="16" width="11.7109375" customWidth="1"/>
  </cols>
  <sheetData>
    <row r="1" spans="1:18" x14ac:dyDescent="0.25">
      <c r="A1" t="s">
        <v>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</row>
    <row r="2" spans="1:18" x14ac:dyDescent="0.25">
      <c r="A2" t="s">
        <v>133</v>
      </c>
      <c r="B2" t="s">
        <v>134</v>
      </c>
      <c r="C2" t="s">
        <v>135</v>
      </c>
      <c r="D2">
        <v>5</v>
      </c>
      <c r="E2">
        <v>7</v>
      </c>
      <c r="F2">
        <v>9</v>
      </c>
      <c r="G2" s="25">
        <f>(D2+E2+F2)/3</f>
        <v>7</v>
      </c>
    </row>
    <row r="3" spans="1:18" x14ac:dyDescent="0.25">
      <c r="A3" t="s">
        <v>136</v>
      </c>
      <c r="B3" t="s">
        <v>137</v>
      </c>
      <c r="C3" t="s">
        <v>138</v>
      </c>
      <c r="D3">
        <v>7</v>
      </c>
      <c r="E3">
        <v>7</v>
      </c>
      <c r="F3">
        <v>5</v>
      </c>
      <c r="G3" s="25">
        <f t="shared" ref="G3:G23" si="0">(D3+E3+F3)/3</f>
        <v>6.333333333333333</v>
      </c>
      <c r="P3" t="s">
        <v>128</v>
      </c>
      <c r="Q3" t="s">
        <v>192</v>
      </c>
      <c r="R3" t="s">
        <v>192</v>
      </c>
    </row>
    <row r="4" spans="1:18" x14ac:dyDescent="0.25">
      <c r="A4" t="s">
        <v>139</v>
      </c>
      <c r="B4" t="s">
        <v>140</v>
      </c>
      <c r="C4" t="s">
        <v>141</v>
      </c>
      <c r="D4">
        <v>3</v>
      </c>
      <c r="E4">
        <v>8</v>
      </c>
      <c r="F4">
        <v>5</v>
      </c>
      <c r="G4" s="25">
        <f t="shared" si="0"/>
        <v>5.333333333333333</v>
      </c>
      <c r="P4" t="s">
        <v>135</v>
      </c>
      <c r="Q4" t="s">
        <v>138</v>
      </c>
      <c r="R4" t="s">
        <v>141</v>
      </c>
    </row>
    <row r="5" spans="1:18" x14ac:dyDescent="0.25">
      <c r="A5" t="s">
        <v>142</v>
      </c>
      <c r="B5" t="s">
        <v>143</v>
      </c>
      <c r="C5" t="s">
        <v>138</v>
      </c>
      <c r="D5">
        <v>6</v>
      </c>
      <c r="E5">
        <v>5</v>
      </c>
      <c r="F5">
        <v>8</v>
      </c>
      <c r="G5" s="25">
        <f t="shared" si="0"/>
        <v>6.333333333333333</v>
      </c>
    </row>
    <row r="6" spans="1:18" x14ac:dyDescent="0.25">
      <c r="A6" t="s">
        <v>144</v>
      </c>
      <c r="B6" t="s">
        <v>145</v>
      </c>
      <c r="C6" t="s">
        <v>141</v>
      </c>
      <c r="D6">
        <v>6</v>
      </c>
      <c r="E6">
        <v>6</v>
      </c>
      <c r="F6">
        <v>7</v>
      </c>
      <c r="G6" s="25">
        <f t="shared" si="0"/>
        <v>6.333333333333333</v>
      </c>
    </row>
    <row r="7" spans="1:18" x14ac:dyDescent="0.25">
      <c r="A7" t="s">
        <v>146</v>
      </c>
      <c r="B7" t="s">
        <v>145</v>
      </c>
      <c r="C7" t="s">
        <v>138</v>
      </c>
      <c r="D7">
        <v>8</v>
      </c>
      <c r="E7">
        <v>4</v>
      </c>
      <c r="F7">
        <v>6</v>
      </c>
      <c r="G7" s="25">
        <f t="shared" si="0"/>
        <v>6</v>
      </c>
    </row>
    <row r="8" spans="1:18" x14ac:dyDescent="0.25">
      <c r="A8" t="s">
        <v>147</v>
      </c>
      <c r="B8" t="s">
        <v>148</v>
      </c>
      <c r="C8" t="s">
        <v>135</v>
      </c>
      <c r="D8">
        <v>7</v>
      </c>
      <c r="E8">
        <v>5</v>
      </c>
      <c r="F8">
        <v>6</v>
      </c>
      <c r="G8" s="25">
        <f t="shared" si="0"/>
        <v>6</v>
      </c>
      <c r="I8" t="s">
        <v>176</v>
      </c>
      <c r="J8" t="s">
        <v>177</v>
      </c>
      <c r="K8" t="s">
        <v>178</v>
      </c>
    </row>
    <row r="9" spans="1:18" x14ac:dyDescent="0.25">
      <c r="A9" t="s">
        <v>149</v>
      </c>
      <c r="B9" t="s">
        <v>150</v>
      </c>
      <c r="C9" t="s">
        <v>141</v>
      </c>
      <c r="D9">
        <v>5</v>
      </c>
      <c r="E9">
        <v>7</v>
      </c>
      <c r="F9">
        <v>8</v>
      </c>
      <c r="G9" s="25">
        <f t="shared" si="0"/>
        <v>6.666666666666667</v>
      </c>
      <c r="I9">
        <f>MODE(D2:D23)</f>
        <v>7</v>
      </c>
      <c r="J9">
        <f>MODE(F2:F23)</f>
        <v>5</v>
      </c>
      <c r="K9">
        <f>MODE(E2:E23)</f>
        <v>7</v>
      </c>
      <c r="N9" t="s">
        <v>191</v>
      </c>
      <c r="O9" t="s">
        <v>193</v>
      </c>
      <c r="P9" t="s">
        <v>194</v>
      </c>
    </row>
    <row r="10" spans="1:18" x14ac:dyDescent="0.25">
      <c r="A10" t="s">
        <v>151</v>
      </c>
      <c r="B10" t="s">
        <v>150</v>
      </c>
      <c r="C10" t="s">
        <v>141</v>
      </c>
      <c r="D10">
        <v>7</v>
      </c>
      <c r="E10">
        <v>6</v>
      </c>
      <c r="F10">
        <v>5</v>
      </c>
      <c r="G10" s="25">
        <f t="shared" si="0"/>
        <v>6</v>
      </c>
      <c r="N10" s="26">
        <f>DAVERAGE(calificaciones,"Lenguaje",P3:P4)</f>
        <v>5.875</v>
      </c>
      <c r="O10" s="26">
        <f>DAVERAGE(calificaciones,"Matemáticas",P3:P4)</f>
        <v>4.75</v>
      </c>
      <c r="P10" s="26">
        <f>DAVERAGE(calificaciones,"História",P3:P4)</f>
        <v>6.75</v>
      </c>
    </row>
    <row r="11" spans="1:18" x14ac:dyDescent="0.25">
      <c r="A11" t="s">
        <v>152</v>
      </c>
      <c r="B11" t="s">
        <v>153</v>
      </c>
      <c r="C11" t="s">
        <v>138</v>
      </c>
      <c r="D11">
        <v>8</v>
      </c>
      <c r="E11">
        <v>9</v>
      </c>
      <c r="F11">
        <v>8</v>
      </c>
      <c r="G11" s="25">
        <f t="shared" si="0"/>
        <v>8.3333333333333339</v>
      </c>
    </row>
    <row r="12" spans="1:18" x14ac:dyDescent="0.25">
      <c r="A12" t="s">
        <v>154</v>
      </c>
      <c r="B12" t="s">
        <v>155</v>
      </c>
      <c r="C12" t="s">
        <v>135</v>
      </c>
      <c r="D12">
        <v>6</v>
      </c>
      <c r="E12">
        <v>3</v>
      </c>
      <c r="F12">
        <v>9</v>
      </c>
      <c r="G12" s="25">
        <f t="shared" si="0"/>
        <v>6</v>
      </c>
      <c r="N12" t="s">
        <v>195</v>
      </c>
      <c r="O12" t="s">
        <v>196</v>
      </c>
      <c r="P12" t="s">
        <v>197</v>
      </c>
    </row>
    <row r="13" spans="1:18" x14ac:dyDescent="0.25">
      <c r="A13" t="s">
        <v>156</v>
      </c>
      <c r="B13" t="s">
        <v>157</v>
      </c>
      <c r="C13" t="s">
        <v>135</v>
      </c>
      <c r="D13">
        <v>7</v>
      </c>
      <c r="E13">
        <v>4</v>
      </c>
      <c r="F13">
        <v>5</v>
      </c>
      <c r="G13" s="25">
        <f t="shared" si="0"/>
        <v>5.333333333333333</v>
      </c>
      <c r="I13" t="s">
        <v>179</v>
      </c>
      <c r="J13" t="s">
        <v>180</v>
      </c>
      <c r="K13" t="s">
        <v>181</v>
      </c>
    </row>
    <row r="14" spans="1:18" x14ac:dyDescent="0.25">
      <c r="A14" t="s">
        <v>158</v>
      </c>
      <c r="B14" t="s">
        <v>157</v>
      </c>
      <c r="C14" t="s">
        <v>135</v>
      </c>
      <c r="D14">
        <v>3</v>
      </c>
      <c r="E14">
        <v>4</v>
      </c>
      <c r="F14">
        <v>7</v>
      </c>
      <c r="G14" s="25">
        <f t="shared" si="0"/>
        <v>4.666666666666667</v>
      </c>
      <c r="I14" s="26">
        <f>AVERAGE(D2:D23)</f>
        <v>6.0909090909090908</v>
      </c>
      <c r="J14" s="26">
        <f>AVERAGE(E2:E23)</f>
        <v>5.6818181818181817</v>
      </c>
      <c r="K14" s="26">
        <f>AVERAGE(F2:F23)</f>
        <v>6.4545454545454541</v>
      </c>
    </row>
    <row r="15" spans="1:18" x14ac:dyDescent="0.25">
      <c r="A15" t="s">
        <v>159</v>
      </c>
      <c r="B15" t="s">
        <v>160</v>
      </c>
      <c r="C15" t="s">
        <v>135</v>
      </c>
      <c r="D15">
        <v>6</v>
      </c>
      <c r="E15">
        <v>3</v>
      </c>
      <c r="F15">
        <v>9</v>
      </c>
      <c r="G15" s="25">
        <f t="shared" si="0"/>
        <v>6</v>
      </c>
    </row>
    <row r="16" spans="1:18" x14ac:dyDescent="0.25">
      <c r="A16" t="s">
        <v>161</v>
      </c>
      <c r="B16" t="s">
        <v>162</v>
      </c>
      <c r="C16" t="s">
        <v>138</v>
      </c>
      <c r="D16">
        <v>6</v>
      </c>
      <c r="E16">
        <v>5</v>
      </c>
      <c r="F16">
        <v>6</v>
      </c>
      <c r="G16" s="25">
        <f t="shared" si="0"/>
        <v>5.666666666666667</v>
      </c>
      <c r="I16" t="s">
        <v>182</v>
      </c>
      <c r="J16" t="s">
        <v>183</v>
      </c>
      <c r="K16" t="s">
        <v>184</v>
      </c>
    </row>
    <row r="17" spans="1:14" x14ac:dyDescent="0.25">
      <c r="A17" t="s">
        <v>163</v>
      </c>
      <c r="B17" t="s">
        <v>164</v>
      </c>
      <c r="C17" t="s">
        <v>141</v>
      </c>
      <c r="D17">
        <v>3</v>
      </c>
      <c r="E17">
        <v>8</v>
      </c>
      <c r="F17">
        <v>5</v>
      </c>
      <c r="G17" s="25">
        <f t="shared" si="0"/>
        <v>5.333333333333333</v>
      </c>
      <c r="I17" s="27">
        <f>COUNTIF(D2:D23,"&gt;=6")</f>
        <v>15</v>
      </c>
      <c r="J17">
        <f>COUNTIF(E2:E23,"&gt;=6")</f>
        <v>12</v>
      </c>
      <c r="K17">
        <f>COUNTIF(F2:F23,"&gt;=6")</f>
        <v>15</v>
      </c>
    </row>
    <row r="18" spans="1:14" x14ac:dyDescent="0.25">
      <c r="A18" t="s">
        <v>146</v>
      </c>
      <c r="B18" t="s">
        <v>165</v>
      </c>
      <c r="C18" t="s">
        <v>138</v>
      </c>
      <c r="D18">
        <v>9</v>
      </c>
      <c r="E18">
        <v>3</v>
      </c>
      <c r="F18">
        <v>7</v>
      </c>
      <c r="G18" s="25">
        <f t="shared" si="0"/>
        <v>6.333333333333333</v>
      </c>
    </row>
    <row r="19" spans="1:14" x14ac:dyDescent="0.25">
      <c r="A19" t="s">
        <v>166</v>
      </c>
      <c r="B19" t="s">
        <v>167</v>
      </c>
      <c r="C19" t="s">
        <v>135</v>
      </c>
      <c r="D19">
        <v>5</v>
      </c>
      <c r="E19">
        <v>5</v>
      </c>
      <c r="F19">
        <v>6</v>
      </c>
      <c r="G19" s="25">
        <f t="shared" si="0"/>
        <v>5.333333333333333</v>
      </c>
    </row>
    <row r="20" spans="1:14" x14ac:dyDescent="0.25">
      <c r="A20" t="s">
        <v>168</v>
      </c>
      <c r="B20" t="s">
        <v>169</v>
      </c>
      <c r="C20" t="s">
        <v>141</v>
      </c>
      <c r="D20">
        <v>7</v>
      </c>
      <c r="E20">
        <v>7</v>
      </c>
      <c r="F20">
        <v>3</v>
      </c>
      <c r="G20" s="25">
        <f t="shared" si="0"/>
        <v>5.666666666666667</v>
      </c>
      <c r="I20" t="s">
        <v>187</v>
      </c>
      <c r="J20" t="s">
        <v>185</v>
      </c>
      <c r="K20" t="s">
        <v>186</v>
      </c>
    </row>
    <row r="21" spans="1:14" x14ac:dyDescent="0.25">
      <c r="A21" t="s">
        <v>170</v>
      </c>
      <c r="B21" t="s">
        <v>171</v>
      </c>
      <c r="C21" t="s">
        <v>135</v>
      </c>
      <c r="D21">
        <v>8</v>
      </c>
      <c r="E21">
        <v>7</v>
      </c>
      <c r="F21">
        <v>3</v>
      </c>
      <c r="G21" s="25">
        <f t="shared" si="0"/>
        <v>6</v>
      </c>
      <c r="I21">
        <f>COUNTIF(D2:D23,"&lt;6")</f>
        <v>7</v>
      </c>
      <c r="J21">
        <f>COUNTIF(E2:E23,"&lt;6")</f>
        <v>10</v>
      </c>
      <c r="K21">
        <f>COUNTIF(F2:F23,"&lt;6")</f>
        <v>7</v>
      </c>
    </row>
    <row r="22" spans="1:14" x14ac:dyDescent="0.25">
      <c r="A22" t="s">
        <v>172</v>
      </c>
      <c r="B22" t="s">
        <v>173</v>
      </c>
      <c r="C22" t="s">
        <v>138</v>
      </c>
      <c r="D22">
        <v>8</v>
      </c>
      <c r="E22">
        <v>6</v>
      </c>
      <c r="F22">
        <v>7</v>
      </c>
      <c r="G22" s="25">
        <f t="shared" si="0"/>
        <v>7</v>
      </c>
    </row>
    <row r="23" spans="1:14" x14ac:dyDescent="0.25">
      <c r="A23" t="s">
        <v>174</v>
      </c>
      <c r="B23" t="s">
        <v>175</v>
      </c>
      <c r="C23" t="s">
        <v>141</v>
      </c>
      <c r="D23">
        <v>4</v>
      </c>
      <c r="E23">
        <v>6</v>
      </c>
      <c r="F23">
        <v>8</v>
      </c>
      <c r="G23" s="25">
        <f t="shared" si="0"/>
        <v>6</v>
      </c>
      <c r="I23" t="s">
        <v>188</v>
      </c>
      <c r="J23" t="s">
        <v>189</v>
      </c>
      <c r="K23" t="s">
        <v>190</v>
      </c>
      <c r="N23" t="s">
        <v>129</v>
      </c>
    </row>
    <row r="24" spans="1:14" x14ac:dyDescent="0.25">
      <c r="I24">
        <f>MAX(D2:D23)</f>
        <v>9</v>
      </c>
      <c r="J24">
        <f>MAX(E2:E23)</f>
        <v>9</v>
      </c>
      <c r="K24">
        <f>MAX(F2:F23)</f>
        <v>9</v>
      </c>
      <c r="N24">
        <v>6</v>
      </c>
    </row>
    <row r="26" spans="1:14" x14ac:dyDescent="0.25">
      <c r="M26" t="e">
        <f>DMAX(D2:D23,"Lenguaje",N23:N24)</f>
        <v>#VALUE!</v>
      </c>
    </row>
  </sheetData>
  <conditionalFormatting sqref="D2:F23">
    <cfRule type="cellIs" dxfId="10" priority="3" operator="lessThan">
      <formula>6</formula>
    </cfRule>
    <cfRule type="cellIs" dxfId="9" priority="2" operator="greaterThan">
      <formula>6</formula>
    </cfRule>
    <cfRule type="cellIs" dxfId="8" priority="1" operator="equal">
      <formula>6</formula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5</vt:i4>
      </vt:variant>
    </vt:vector>
  </HeadingPairs>
  <TitlesOfParts>
    <vt:vector size="15" baseType="lpstr">
      <vt:lpstr>practica 1</vt:lpstr>
      <vt:lpstr>practica 2</vt:lpstr>
      <vt:lpstr>practica 3</vt:lpstr>
      <vt:lpstr>practica 4</vt:lpstr>
      <vt:lpstr>practica 5</vt:lpstr>
      <vt:lpstr>Practica 6</vt:lpstr>
      <vt:lpstr>Practica 7</vt:lpstr>
      <vt:lpstr>Practica 8</vt:lpstr>
      <vt:lpstr>Practica 9</vt:lpstr>
      <vt:lpstr>Practica 10</vt:lpstr>
      <vt:lpstr>A10000000</vt:lpstr>
      <vt:lpstr>A1000000000</vt:lpstr>
      <vt:lpstr>A1999999</vt:lpstr>
      <vt:lpstr>A77777777777</vt:lpstr>
      <vt:lpstr>calificaciones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DANIEL SAUCEDO MENDEZ</dc:creator>
  <cp:lastModifiedBy>HP</cp:lastModifiedBy>
  <dcterms:created xsi:type="dcterms:W3CDTF">2026-04-15T19:24:22Z</dcterms:created>
  <dcterms:modified xsi:type="dcterms:W3CDTF">2026-05-26T21:53:46Z</dcterms:modified>
</cp:coreProperties>
</file>